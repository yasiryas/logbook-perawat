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0730" windowHeight="11040" tabRatio="692" firstSheet="1" activeTab="15"/>
  </bookViews>
  <sheets>
    <sheet name="LOGBOOK" sheetId="34" state="hidden" r:id="rId1"/>
    <sheet name="Data Perawat" sheetId="35" r:id="rId2"/>
    <sheet name="JAN " sheetId="33" r:id="rId3"/>
    <sheet name="FEB" sheetId="37" r:id="rId4"/>
    <sheet name="MAR" sheetId="41" r:id="rId5"/>
    <sheet name="APR" sheetId="44" r:id="rId6"/>
    <sheet name="MEI" sheetId="45" r:id="rId7"/>
    <sheet name="JUN" sheetId="46" r:id="rId8"/>
    <sheet name="JUL" sheetId="47" r:id="rId9"/>
    <sheet name="AGST" sheetId="43" r:id="rId10"/>
    <sheet name="SEP" sheetId="39" r:id="rId11"/>
    <sheet name="OKT" sheetId="40" r:id="rId12"/>
    <sheet name="NOV" sheetId="42" r:id="rId13"/>
    <sheet name="DES" sheetId="38" r:id="rId14"/>
    <sheet name="TAHUNAN" sheetId="5" r:id="rId15"/>
    <sheet name="PENILAIAN  TAHUNAN" sheetId="23" r:id="rId16"/>
    <sheet name="3" sheetId="4" state="hidden" r:id="rId17"/>
  </sheets>
  <definedNames>
    <definedName name="_xlnm.Print_Titles" localSheetId="9">AGST!$8:$9</definedName>
    <definedName name="_xlnm.Print_Titles" localSheetId="5">APR!$8:$9</definedName>
    <definedName name="_xlnm.Print_Titles" localSheetId="13">DES!$8:$9</definedName>
    <definedName name="_xlnm.Print_Titles" localSheetId="3">FEB!$8:$9</definedName>
    <definedName name="_xlnm.Print_Titles" localSheetId="2">'JAN '!$8:$9</definedName>
    <definedName name="_xlnm.Print_Titles" localSheetId="8">JUL!$8:$9</definedName>
    <definedName name="_xlnm.Print_Titles" localSheetId="7">JUN!$8:$9</definedName>
    <definedName name="_xlnm.Print_Titles" localSheetId="0">LOGBOOK!$8:$9</definedName>
    <definedName name="_xlnm.Print_Titles" localSheetId="4">MAR!$8:$9</definedName>
    <definedName name="_xlnm.Print_Titles" localSheetId="6">MEI!$8:$9</definedName>
    <definedName name="_xlnm.Print_Titles" localSheetId="12">NOV!$8:$9</definedName>
    <definedName name="_xlnm.Print_Titles" localSheetId="11">OKT!$8:$9</definedName>
    <definedName name="_xlnm.Print_Titles" localSheetId="15">'PENILAIAN  TAHUNAN'!$20:$21</definedName>
    <definedName name="_xlnm.Print_Titles" localSheetId="10">SEP!$8:$9</definedName>
    <definedName name="_xlnm.Print_Titles" localSheetId="14">TAHUNAN!$7:$8</definedName>
  </definedNames>
  <calcPr calcId="144525"/>
</workbook>
</file>

<file path=xl/calcChain.xml><?xml version="1.0" encoding="utf-8"?>
<calcChain xmlns="http://schemas.openxmlformats.org/spreadsheetml/2006/main">
  <c r="G32" i="5" l="1"/>
  <c r="G11" i="5"/>
  <c r="G12" i="5"/>
  <c r="G13" i="5"/>
  <c r="G15" i="5"/>
  <c r="G16" i="5"/>
  <c r="G17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10" i="5"/>
  <c r="F32" i="5"/>
  <c r="F11" i="5"/>
  <c r="F12" i="5"/>
  <c r="F13" i="5"/>
  <c r="F15" i="5"/>
  <c r="F16" i="5"/>
  <c r="F17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10" i="5"/>
  <c r="AM34" i="47"/>
  <c r="AM33" i="47"/>
  <c r="AI33" i="47"/>
  <c r="AH33" i="47"/>
  <c r="AG33" i="47"/>
  <c r="AF33" i="47"/>
  <c r="AE33" i="47"/>
  <c r="AD33" i="47"/>
  <c r="AC33" i="47"/>
  <c r="AB33" i="47"/>
  <c r="AA33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H33" i="47"/>
  <c r="G33" i="47"/>
  <c r="F33" i="47"/>
  <c r="E33" i="47"/>
  <c r="AM32" i="47"/>
  <c r="AJ32" i="47"/>
  <c r="J31" i="5" s="1"/>
  <c r="AM31" i="47"/>
  <c r="AJ31" i="47"/>
  <c r="J30" i="5" s="1"/>
  <c r="AM30" i="47"/>
  <c r="AJ30" i="47"/>
  <c r="J29" i="5" s="1"/>
  <c r="AM29" i="47"/>
  <c r="AJ29" i="47"/>
  <c r="J28" i="5" s="1"/>
  <c r="AM28" i="47"/>
  <c r="AJ28" i="47"/>
  <c r="J27" i="5" s="1"/>
  <c r="AM27" i="47"/>
  <c r="AJ27" i="47"/>
  <c r="J26" i="5" s="1"/>
  <c r="AM26" i="47"/>
  <c r="AJ26" i="47"/>
  <c r="J25" i="5" s="1"/>
  <c r="AM25" i="47"/>
  <c r="AJ25" i="47"/>
  <c r="J24" i="5" s="1"/>
  <c r="AM24" i="47"/>
  <c r="AJ24" i="47"/>
  <c r="J23" i="5" s="1"/>
  <c r="AM23" i="47"/>
  <c r="AJ23" i="47"/>
  <c r="J22" i="5" s="1"/>
  <c r="AM22" i="47"/>
  <c r="AJ22" i="47"/>
  <c r="J21" i="5" s="1"/>
  <c r="AM21" i="47"/>
  <c r="AJ21" i="47"/>
  <c r="J20" i="5" s="1"/>
  <c r="AM20" i="47"/>
  <c r="AJ20" i="47"/>
  <c r="J19" i="5" s="1"/>
  <c r="AM18" i="47"/>
  <c r="AI18" i="47"/>
  <c r="AH18" i="47"/>
  <c r="AG18" i="47"/>
  <c r="AF18" i="47"/>
  <c r="AE18" i="47"/>
  <c r="AD18" i="47"/>
  <c r="AC18" i="47"/>
  <c r="AB18" i="47"/>
  <c r="AA18" i="47"/>
  <c r="Z18" i="47"/>
  <c r="Y18" i="47"/>
  <c r="X18" i="47"/>
  <c r="W18" i="47"/>
  <c r="V18" i="47"/>
  <c r="U18" i="47"/>
  <c r="T18" i="47"/>
  <c r="S18" i="47"/>
  <c r="R18" i="47"/>
  <c r="Q18" i="47"/>
  <c r="P18" i="47"/>
  <c r="O18" i="47"/>
  <c r="N18" i="47"/>
  <c r="M18" i="47"/>
  <c r="L18" i="47"/>
  <c r="K18" i="47"/>
  <c r="J18" i="47"/>
  <c r="I18" i="47"/>
  <c r="H18" i="47"/>
  <c r="G18" i="47"/>
  <c r="F18" i="47"/>
  <c r="E18" i="47"/>
  <c r="AM17" i="47"/>
  <c r="AJ17" i="47" s="1"/>
  <c r="J16" i="5" s="1"/>
  <c r="AM16" i="47"/>
  <c r="AJ16" i="47" s="1"/>
  <c r="J15" i="5" s="1"/>
  <c r="AM14" i="47"/>
  <c r="AI14" i="47"/>
  <c r="AH14" i="47"/>
  <c r="AG14" i="47"/>
  <c r="AF14" i="47"/>
  <c r="AE14" i="47"/>
  <c r="AD14" i="47"/>
  <c r="AC14" i="47"/>
  <c r="AB14" i="47"/>
  <c r="AA14" i="47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H14" i="47"/>
  <c r="G14" i="47"/>
  <c r="F14" i="47"/>
  <c r="E14" i="47"/>
  <c r="AM13" i="47"/>
  <c r="AJ13" i="47"/>
  <c r="J12" i="5" s="1"/>
  <c r="AM12" i="47"/>
  <c r="AJ12" i="47"/>
  <c r="J11" i="5" s="1"/>
  <c r="AM11" i="47"/>
  <c r="AJ11" i="47"/>
  <c r="AJ14" i="47" s="1"/>
  <c r="J13" i="5" s="1"/>
  <c r="AM10" i="47"/>
  <c r="C6" i="47"/>
  <c r="C5" i="47"/>
  <c r="C4" i="47"/>
  <c r="AM34" i="46"/>
  <c r="AM33" i="46"/>
  <c r="AI33" i="46"/>
  <c r="AH33" i="46"/>
  <c r="AG33" i="46"/>
  <c r="AF33" i="46"/>
  <c r="AE33" i="46"/>
  <c r="AD33" i="46"/>
  <c r="AC33" i="46"/>
  <c r="AB33" i="46"/>
  <c r="AA33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G33" i="46"/>
  <c r="F33" i="46"/>
  <c r="E33" i="46"/>
  <c r="AM32" i="46"/>
  <c r="AJ32" i="46" s="1"/>
  <c r="I31" i="5" s="1"/>
  <c r="AM31" i="46"/>
  <c r="AJ31" i="46" s="1"/>
  <c r="I30" i="5" s="1"/>
  <c r="AM30" i="46"/>
  <c r="AJ30" i="46" s="1"/>
  <c r="I29" i="5" s="1"/>
  <c r="AM29" i="46"/>
  <c r="AJ29" i="46"/>
  <c r="I28" i="5" s="1"/>
  <c r="AM28" i="46"/>
  <c r="AJ28" i="46" s="1"/>
  <c r="I27" i="5" s="1"/>
  <c r="AM27" i="46"/>
  <c r="AJ27" i="46"/>
  <c r="I26" i="5" s="1"/>
  <c r="AM26" i="46"/>
  <c r="AJ26" i="46" s="1"/>
  <c r="I25" i="5" s="1"/>
  <c r="AM25" i="46"/>
  <c r="AJ25" i="46"/>
  <c r="I24" i="5" s="1"/>
  <c r="AM24" i="46"/>
  <c r="AJ24" i="46" s="1"/>
  <c r="I23" i="5" s="1"/>
  <c r="AM23" i="46"/>
  <c r="AJ23" i="46"/>
  <c r="I22" i="5" s="1"/>
  <c r="AM22" i="46"/>
  <c r="AJ22" i="46" s="1"/>
  <c r="I21" i="5" s="1"/>
  <c r="AM21" i="46"/>
  <c r="AJ21" i="46"/>
  <c r="I20" i="5" s="1"/>
  <c r="AM20" i="46"/>
  <c r="AJ20" i="46" s="1"/>
  <c r="I19" i="5" s="1"/>
  <c r="AM18" i="46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E18" i="46"/>
  <c r="AM17" i="46"/>
  <c r="AJ17" i="46" s="1"/>
  <c r="I16" i="5" s="1"/>
  <c r="AM16" i="46"/>
  <c r="AJ16" i="46" s="1"/>
  <c r="I15" i="5" s="1"/>
  <c r="AM14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E14" i="46"/>
  <c r="AM13" i="46"/>
  <c r="AM12" i="46"/>
  <c r="AM11" i="46"/>
  <c r="AJ13" i="46" s="1"/>
  <c r="I12" i="5" s="1"/>
  <c r="AJ11" i="46"/>
  <c r="I10" i="5" s="1"/>
  <c r="AM10" i="46"/>
  <c r="AJ12" i="46" s="1"/>
  <c r="I11" i="5" s="1"/>
  <c r="C6" i="46"/>
  <c r="C5" i="46"/>
  <c r="C4" i="46"/>
  <c r="AM34" i="45"/>
  <c r="AM33" i="45"/>
  <c r="AI33" i="45"/>
  <c r="AH33" i="45"/>
  <c r="AG33" i="45"/>
  <c r="AF33" i="45"/>
  <c r="AE33" i="45"/>
  <c r="AD33" i="45"/>
  <c r="AC33" i="45"/>
  <c r="AB33" i="45"/>
  <c r="AA33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E33" i="45"/>
  <c r="AM32" i="45"/>
  <c r="AJ32" i="45" s="1"/>
  <c r="H31" i="5" s="1"/>
  <c r="AM31" i="45"/>
  <c r="AJ31" i="45" s="1"/>
  <c r="H30" i="5" s="1"/>
  <c r="AM30" i="45"/>
  <c r="AJ30" i="45" s="1"/>
  <c r="H29" i="5" s="1"/>
  <c r="AM29" i="45"/>
  <c r="AJ29" i="45" s="1"/>
  <c r="H28" i="5" s="1"/>
  <c r="AM28" i="45"/>
  <c r="AJ28" i="45" s="1"/>
  <c r="H27" i="5" s="1"/>
  <c r="AM27" i="45"/>
  <c r="AJ27" i="45" s="1"/>
  <c r="H26" i="5" s="1"/>
  <c r="AM26" i="45"/>
  <c r="AJ26" i="45" s="1"/>
  <c r="H25" i="5" s="1"/>
  <c r="AM25" i="45"/>
  <c r="AJ25" i="45" s="1"/>
  <c r="H24" i="5" s="1"/>
  <c r="AM24" i="45"/>
  <c r="AJ24" i="45" s="1"/>
  <c r="H23" i="5" s="1"/>
  <c r="AM23" i="45"/>
  <c r="AJ23" i="45" s="1"/>
  <c r="H22" i="5" s="1"/>
  <c r="AM22" i="45"/>
  <c r="AJ22" i="45" s="1"/>
  <c r="H21" i="5" s="1"/>
  <c r="AM21" i="45"/>
  <c r="AJ21" i="45" s="1"/>
  <c r="H20" i="5" s="1"/>
  <c r="AM20" i="45"/>
  <c r="AJ20" i="45" s="1"/>
  <c r="AM18" i="45"/>
  <c r="AI18" i="45"/>
  <c r="AH18" i="45"/>
  <c r="AG18" i="45"/>
  <c r="AF18" i="45"/>
  <c r="AE18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AM17" i="45"/>
  <c r="AJ17" i="45" s="1"/>
  <c r="H16" i="5" s="1"/>
  <c r="AM16" i="45"/>
  <c r="AJ16" i="45" s="1"/>
  <c r="H15" i="5" s="1"/>
  <c r="AM14" i="45"/>
  <c r="AI14" i="45"/>
  <c r="AH14" i="45"/>
  <c r="AG14" i="45"/>
  <c r="AF14" i="45"/>
  <c r="AE14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AM13" i="45"/>
  <c r="AM12" i="45"/>
  <c r="AM11" i="45"/>
  <c r="AJ13" i="45" s="1"/>
  <c r="H12" i="5" s="1"/>
  <c r="AJ11" i="45"/>
  <c r="H10" i="5" s="1"/>
  <c r="AM10" i="45"/>
  <c r="AJ12" i="45" s="1"/>
  <c r="H11" i="5" s="1"/>
  <c r="C6" i="45"/>
  <c r="C5" i="45"/>
  <c r="C4" i="45"/>
  <c r="AM34" i="44"/>
  <c r="AM33" i="44"/>
  <c r="AI33" i="44"/>
  <c r="AH33" i="44"/>
  <c r="AG33" i="44"/>
  <c r="AF33" i="44"/>
  <c r="AE33" i="44"/>
  <c r="AD33" i="44"/>
  <c r="AC33" i="44"/>
  <c r="AB33" i="44"/>
  <c r="AA33" i="44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E33" i="44"/>
  <c r="AM32" i="44"/>
  <c r="AJ32" i="44" s="1"/>
  <c r="AM31" i="44"/>
  <c r="AJ31" i="44" s="1"/>
  <c r="AM30" i="44"/>
  <c r="AJ30" i="44" s="1"/>
  <c r="AM29" i="44"/>
  <c r="AJ29" i="44" s="1"/>
  <c r="AM28" i="44"/>
  <c r="AJ28" i="44" s="1"/>
  <c r="AM27" i="44"/>
  <c r="AJ27" i="44" s="1"/>
  <c r="AM26" i="44"/>
  <c r="AJ26" i="44" s="1"/>
  <c r="AM25" i="44"/>
  <c r="AJ25" i="44" s="1"/>
  <c r="AM24" i="44"/>
  <c r="AJ24" i="44" s="1"/>
  <c r="AM23" i="44"/>
  <c r="AJ23" i="44" s="1"/>
  <c r="AM22" i="44"/>
  <c r="AJ22" i="44" s="1"/>
  <c r="AM21" i="44"/>
  <c r="AJ21" i="44" s="1"/>
  <c r="AM20" i="44"/>
  <c r="AJ20" i="44" s="1"/>
  <c r="AM18" i="44"/>
  <c r="AI18" i="44"/>
  <c r="AH18" i="44"/>
  <c r="AG18" i="44"/>
  <c r="AF18" i="44"/>
  <c r="AE18" i="44"/>
  <c r="AD18" i="44"/>
  <c r="AC18" i="44"/>
  <c r="AB18" i="44"/>
  <c r="AA18" i="44"/>
  <c r="Z18" i="44"/>
  <c r="Y18" i="44"/>
  <c r="X18" i="44"/>
  <c r="W18" i="44"/>
  <c r="V18" i="44"/>
  <c r="U18" i="44"/>
  <c r="T18" i="44"/>
  <c r="S18" i="44"/>
  <c r="R18" i="44"/>
  <c r="Q18" i="44"/>
  <c r="P18" i="44"/>
  <c r="O18" i="44"/>
  <c r="N18" i="44"/>
  <c r="M18" i="44"/>
  <c r="L18" i="44"/>
  <c r="K18" i="44"/>
  <c r="J18" i="44"/>
  <c r="I18" i="44"/>
  <c r="H18" i="44"/>
  <c r="G18" i="44"/>
  <c r="F18" i="44"/>
  <c r="E18" i="44"/>
  <c r="AM17" i="44"/>
  <c r="AJ17" i="44" s="1"/>
  <c r="AM16" i="44"/>
  <c r="AJ16" i="44"/>
  <c r="AM14" i="44"/>
  <c r="AI14" i="44"/>
  <c r="AH14" i="44"/>
  <c r="AG14" i="44"/>
  <c r="AF14" i="44"/>
  <c r="AE14" i="44"/>
  <c r="AD14" i="44"/>
  <c r="AC14" i="44"/>
  <c r="AB14" i="44"/>
  <c r="AA14" i="44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AM13" i="44"/>
  <c r="AM12" i="44"/>
  <c r="AM11" i="44"/>
  <c r="AJ13" i="44" s="1"/>
  <c r="AJ11" i="44"/>
  <c r="AM10" i="44"/>
  <c r="AJ12" i="44" s="1"/>
  <c r="C6" i="44"/>
  <c r="C5" i="44"/>
  <c r="C4" i="44"/>
  <c r="AM34" i="43"/>
  <c r="AM33" i="43"/>
  <c r="AI33" i="43"/>
  <c r="AH33" i="43"/>
  <c r="AG33" i="43"/>
  <c r="AF33" i="43"/>
  <c r="AE33" i="43"/>
  <c r="AD33" i="43"/>
  <c r="AC33" i="43"/>
  <c r="AB33" i="43"/>
  <c r="AA33" i="43"/>
  <c r="Z33" i="43"/>
  <c r="Y33" i="43"/>
  <c r="X33" i="43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F33" i="43"/>
  <c r="E33" i="43"/>
  <c r="AM32" i="43"/>
  <c r="AJ32" i="43" s="1"/>
  <c r="K31" i="5" s="1"/>
  <c r="AM31" i="43"/>
  <c r="AJ31" i="43"/>
  <c r="K30" i="5" s="1"/>
  <c r="AM30" i="43"/>
  <c r="AJ30" i="43" s="1"/>
  <c r="K29" i="5" s="1"/>
  <c r="AM29" i="43"/>
  <c r="AJ29" i="43" s="1"/>
  <c r="K28" i="5" s="1"/>
  <c r="AM28" i="43"/>
  <c r="AJ28" i="43" s="1"/>
  <c r="K27" i="5" s="1"/>
  <c r="AM27" i="43"/>
  <c r="AJ27" i="43"/>
  <c r="K26" i="5" s="1"/>
  <c r="AM26" i="43"/>
  <c r="AJ26" i="43"/>
  <c r="K25" i="5" s="1"/>
  <c r="AM25" i="43"/>
  <c r="AJ25" i="43"/>
  <c r="K24" i="5" s="1"/>
  <c r="AM24" i="43"/>
  <c r="AJ24" i="43"/>
  <c r="K23" i="5" s="1"/>
  <c r="AM23" i="43"/>
  <c r="AJ23" i="43"/>
  <c r="K22" i="5" s="1"/>
  <c r="AM22" i="43"/>
  <c r="AJ22" i="43"/>
  <c r="K21" i="5" s="1"/>
  <c r="AM21" i="43"/>
  <c r="AJ21" i="43"/>
  <c r="K20" i="5" s="1"/>
  <c r="AM20" i="43"/>
  <c r="AJ20" i="43"/>
  <c r="K19" i="5" s="1"/>
  <c r="AM18" i="43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E18" i="43"/>
  <c r="AM17" i="43"/>
  <c r="AJ17" i="43" s="1"/>
  <c r="AM16" i="43"/>
  <c r="AJ16" i="43" s="1"/>
  <c r="K15" i="5" s="1"/>
  <c r="AM14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E14" i="43"/>
  <c r="AM13" i="43"/>
  <c r="AM12" i="43"/>
  <c r="AM11" i="43"/>
  <c r="AJ13" i="43" s="1"/>
  <c r="K12" i="5" s="1"/>
  <c r="AJ11" i="43"/>
  <c r="AM10" i="43"/>
  <c r="AJ12" i="43" s="1"/>
  <c r="K11" i="5" s="1"/>
  <c r="C6" i="43"/>
  <c r="C5" i="43"/>
  <c r="C4" i="43"/>
  <c r="AM34" i="42"/>
  <c r="AM33" i="42"/>
  <c r="AI33" i="42"/>
  <c r="AH33" i="42"/>
  <c r="AG33" i="42"/>
  <c r="AF33" i="42"/>
  <c r="AE33" i="42"/>
  <c r="AD33" i="42"/>
  <c r="AC33" i="42"/>
  <c r="AB33" i="42"/>
  <c r="AA33" i="42"/>
  <c r="Z33" i="42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H33" i="42"/>
  <c r="G33" i="42"/>
  <c r="F33" i="42"/>
  <c r="E33" i="42"/>
  <c r="AM32" i="42"/>
  <c r="AJ32" i="42"/>
  <c r="N31" i="5" s="1"/>
  <c r="AM31" i="42"/>
  <c r="AJ31" i="42"/>
  <c r="N30" i="5" s="1"/>
  <c r="AM30" i="42"/>
  <c r="AJ30" i="42"/>
  <c r="N29" i="5" s="1"/>
  <c r="AM29" i="42"/>
  <c r="AJ29" i="42"/>
  <c r="N28" i="5" s="1"/>
  <c r="AM28" i="42"/>
  <c r="AJ28" i="42"/>
  <c r="N27" i="5" s="1"/>
  <c r="AM27" i="42"/>
  <c r="AJ27" i="42"/>
  <c r="N26" i="5" s="1"/>
  <c r="AM26" i="42"/>
  <c r="AJ26" i="42"/>
  <c r="N25" i="5" s="1"/>
  <c r="AM25" i="42"/>
  <c r="AJ25" i="42"/>
  <c r="N24" i="5" s="1"/>
  <c r="AM24" i="42"/>
  <c r="AJ24" i="42"/>
  <c r="N23" i="5" s="1"/>
  <c r="AM23" i="42"/>
  <c r="AJ23" i="42"/>
  <c r="N22" i="5" s="1"/>
  <c r="AM22" i="42"/>
  <c r="AJ22" i="42"/>
  <c r="N21" i="5" s="1"/>
  <c r="AM21" i="42"/>
  <c r="AJ21" i="42"/>
  <c r="N20" i="5" s="1"/>
  <c r="AM20" i="42"/>
  <c r="AJ20" i="42"/>
  <c r="AM18" i="42"/>
  <c r="AI18" i="42"/>
  <c r="AH18" i="42"/>
  <c r="AG18" i="42"/>
  <c r="AF18" i="42"/>
  <c r="AE18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AM17" i="42"/>
  <c r="AJ17" i="42" s="1"/>
  <c r="N16" i="5" s="1"/>
  <c r="AM16" i="42"/>
  <c r="AJ16" i="42" s="1"/>
  <c r="AM14" i="42"/>
  <c r="AI14" i="42"/>
  <c r="AH14" i="42"/>
  <c r="AG14" i="42"/>
  <c r="AF14" i="42"/>
  <c r="AE14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AM13" i="42"/>
  <c r="AJ13" i="42"/>
  <c r="N12" i="5" s="1"/>
  <c r="AM12" i="42"/>
  <c r="AJ12" i="42"/>
  <c r="N11" i="5" s="1"/>
  <c r="AM11" i="42"/>
  <c r="AJ11" i="42"/>
  <c r="AJ14" i="42" s="1"/>
  <c r="AM10" i="42"/>
  <c r="C6" i="42"/>
  <c r="C5" i="42"/>
  <c r="C4" i="42"/>
  <c r="AM34" i="41"/>
  <c r="AM33" i="41"/>
  <c r="AI33" i="41"/>
  <c r="AH33" i="41"/>
  <c r="AG33" i="41"/>
  <c r="AF33" i="41"/>
  <c r="AE33" i="41"/>
  <c r="AD33" i="41"/>
  <c r="AC33" i="41"/>
  <c r="AB33" i="41"/>
  <c r="AA33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AM32" i="41"/>
  <c r="AJ32" i="41" s="1"/>
  <c r="AM31" i="41"/>
  <c r="AJ31" i="41"/>
  <c r="AM30" i="41"/>
  <c r="AJ30" i="41"/>
  <c r="AM29" i="41"/>
  <c r="AJ29" i="41"/>
  <c r="AM28" i="41"/>
  <c r="AJ28" i="41"/>
  <c r="AM27" i="41"/>
  <c r="AJ27" i="41"/>
  <c r="AM26" i="41"/>
  <c r="AJ26" i="41"/>
  <c r="AM25" i="41"/>
  <c r="AJ25" i="41"/>
  <c r="AM24" i="41"/>
  <c r="AJ24" i="41"/>
  <c r="AM23" i="41"/>
  <c r="AJ23" i="41"/>
  <c r="AM22" i="41"/>
  <c r="AJ22" i="41"/>
  <c r="AM21" i="41"/>
  <c r="AJ21" i="41"/>
  <c r="AM20" i="41"/>
  <c r="AJ20" i="41"/>
  <c r="AM18" i="41"/>
  <c r="AI18" i="41"/>
  <c r="AH18" i="41"/>
  <c r="AG18" i="41"/>
  <c r="AF18" i="41"/>
  <c r="AE18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AM17" i="41"/>
  <c r="AJ17" i="41" s="1"/>
  <c r="AM16" i="41"/>
  <c r="AJ16" i="41" s="1"/>
  <c r="AM14" i="41"/>
  <c r="AI14" i="41"/>
  <c r="AH14" i="41"/>
  <c r="AG14" i="41"/>
  <c r="AF14" i="41"/>
  <c r="AE14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AM13" i="41"/>
  <c r="AM12" i="41"/>
  <c r="AM11" i="41"/>
  <c r="AJ13" i="41" s="1"/>
  <c r="AJ11" i="41"/>
  <c r="AM10" i="41"/>
  <c r="AJ12" i="41" s="1"/>
  <c r="C6" i="41"/>
  <c r="C5" i="41"/>
  <c r="C4" i="41"/>
  <c r="AM34" i="40"/>
  <c r="AM33" i="40"/>
  <c r="AI33" i="40"/>
  <c r="AH33" i="40"/>
  <c r="AG33" i="40"/>
  <c r="AF33" i="40"/>
  <c r="AE33" i="40"/>
  <c r="AD33" i="40"/>
  <c r="AC33" i="40"/>
  <c r="AB33" i="40"/>
  <c r="AA33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G33" i="40"/>
  <c r="F33" i="40"/>
  <c r="E33" i="40"/>
  <c r="AM32" i="40"/>
  <c r="AJ32" i="40"/>
  <c r="M31" i="5" s="1"/>
  <c r="AM31" i="40"/>
  <c r="AJ31" i="40" s="1"/>
  <c r="M30" i="5" s="1"/>
  <c r="AM30" i="40"/>
  <c r="AJ30" i="40" s="1"/>
  <c r="M29" i="5" s="1"/>
  <c r="AM29" i="40"/>
  <c r="AJ29" i="40" s="1"/>
  <c r="M28" i="5" s="1"/>
  <c r="AM28" i="40"/>
  <c r="AJ28" i="40" s="1"/>
  <c r="M27" i="5" s="1"/>
  <c r="AM27" i="40"/>
  <c r="AJ27" i="40" s="1"/>
  <c r="M26" i="5" s="1"/>
  <c r="AM26" i="40"/>
  <c r="AJ26" i="40" s="1"/>
  <c r="M25" i="5" s="1"/>
  <c r="AM25" i="40"/>
  <c r="AJ25" i="40" s="1"/>
  <c r="M24" i="5" s="1"/>
  <c r="AM24" i="40"/>
  <c r="AJ24" i="40" s="1"/>
  <c r="M23" i="5" s="1"/>
  <c r="AM23" i="40"/>
  <c r="AJ23" i="40" s="1"/>
  <c r="M22" i="5" s="1"/>
  <c r="AM22" i="40"/>
  <c r="AJ22" i="40" s="1"/>
  <c r="M21" i="5" s="1"/>
  <c r="AM21" i="40"/>
  <c r="AJ21" i="40" s="1"/>
  <c r="M20" i="5" s="1"/>
  <c r="AM20" i="40"/>
  <c r="AJ20" i="40" s="1"/>
  <c r="M19" i="5" s="1"/>
  <c r="AM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E18" i="40"/>
  <c r="AM17" i="40"/>
  <c r="AJ17" i="40" s="1"/>
  <c r="M16" i="5" s="1"/>
  <c r="AM16" i="40"/>
  <c r="AJ16" i="40"/>
  <c r="M15" i="5" s="1"/>
  <c r="AM14" i="40"/>
  <c r="AI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AM13" i="40"/>
  <c r="AJ13" i="40"/>
  <c r="M12" i="5" s="1"/>
  <c r="AM12" i="40"/>
  <c r="AJ12" i="40"/>
  <c r="M11" i="5" s="1"/>
  <c r="AM11" i="40"/>
  <c r="AJ11" i="40"/>
  <c r="AM10" i="40"/>
  <c r="C6" i="40"/>
  <c r="C5" i="40"/>
  <c r="C4" i="40"/>
  <c r="AM34" i="39"/>
  <c r="AM33" i="39"/>
  <c r="AI33" i="39"/>
  <c r="AH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AM32" i="39"/>
  <c r="AJ32" i="39" s="1"/>
  <c r="L31" i="5" s="1"/>
  <c r="AM31" i="39"/>
  <c r="AJ31" i="39" s="1"/>
  <c r="L30" i="5" s="1"/>
  <c r="AM30" i="39"/>
  <c r="AJ30" i="39"/>
  <c r="L29" i="5" s="1"/>
  <c r="AM29" i="39"/>
  <c r="AJ29" i="39" s="1"/>
  <c r="L28" i="5" s="1"/>
  <c r="AM28" i="39"/>
  <c r="AJ28" i="39" s="1"/>
  <c r="L27" i="5" s="1"/>
  <c r="AM27" i="39"/>
  <c r="AJ27" i="39" s="1"/>
  <c r="L26" i="5" s="1"/>
  <c r="AM26" i="39"/>
  <c r="AJ26" i="39"/>
  <c r="L25" i="5" s="1"/>
  <c r="AM25" i="39"/>
  <c r="AJ25" i="39" s="1"/>
  <c r="L24" i="5" s="1"/>
  <c r="AM24" i="39"/>
  <c r="AJ24" i="39" s="1"/>
  <c r="L23" i="5" s="1"/>
  <c r="AM23" i="39"/>
  <c r="AJ23" i="39" s="1"/>
  <c r="L22" i="5" s="1"/>
  <c r="AM22" i="39"/>
  <c r="AJ22" i="39"/>
  <c r="L21" i="5" s="1"/>
  <c r="AM21" i="39"/>
  <c r="AJ21" i="39" s="1"/>
  <c r="L20" i="5" s="1"/>
  <c r="AM20" i="39"/>
  <c r="AJ20" i="39" s="1"/>
  <c r="L19" i="5" s="1"/>
  <c r="AM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AM17" i="39"/>
  <c r="AJ17" i="39" s="1"/>
  <c r="L16" i="5" s="1"/>
  <c r="AM16" i="39"/>
  <c r="AJ16" i="39"/>
  <c r="L15" i="5" s="1"/>
  <c r="AM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AM13" i="39"/>
  <c r="AJ13" i="39"/>
  <c r="L12" i="5" s="1"/>
  <c r="AM12" i="39"/>
  <c r="AM11" i="39"/>
  <c r="AJ11" i="39"/>
  <c r="L10" i="5" s="1"/>
  <c r="AM10" i="39"/>
  <c r="AJ12" i="39" s="1"/>
  <c r="L11" i="5" s="1"/>
  <c r="C6" i="39"/>
  <c r="C5" i="39"/>
  <c r="C4" i="39"/>
  <c r="AM34" i="38"/>
  <c r="AM33" i="38"/>
  <c r="AI33" i="38"/>
  <c r="AH33" i="38"/>
  <c r="AG33" i="38"/>
  <c r="AF33" i="38"/>
  <c r="AE33" i="38"/>
  <c r="AD33" i="38"/>
  <c r="AC33" i="38"/>
  <c r="AB33" i="38"/>
  <c r="AA33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E33" i="38"/>
  <c r="AM32" i="38"/>
  <c r="AJ32" i="38"/>
  <c r="O31" i="5" s="1"/>
  <c r="AM31" i="38"/>
  <c r="AJ31" i="38"/>
  <c r="O30" i="5" s="1"/>
  <c r="AM30" i="38"/>
  <c r="AJ30" i="38"/>
  <c r="O29" i="5" s="1"/>
  <c r="AM29" i="38"/>
  <c r="AJ29" i="38"/>
  <c r="O28" i="5" s="1"/>
  <c r="AM28" i="38"/>
  <c r="AJ28" i="38"/>
  <c r="O27" i="5" s="1"/>
  <c r="AM27" i="38"/>
  <c r="AJ27" i="38"/>
  <c r="O26" i="5" s="1"/>
  <c r="AM26" i="38"/>
  <c r="AJ26" i="38"/>
  <c r="O25" i="5" s="1"/>
  <c r="AM25" i="38"/>
  <c r="AJ25" i="38"/>
  <c r="O24" i="5" s="1"/>
  <c r="AM24" i="38"/>
  <c r="AJ24" i="38"/>
  <c r="O23" i="5" s="1"/>
  <c r="AM23" i="38"/>
  <c r="AJ23" i="38"/>
  <c r="O22" i="5" s="1"/>
  <c r="AM22" i="38"/>
  <c r="AJ22" i="38"/>
  <c r="O21" i="5" s="1"/>
  <c r="AM21" i="38"/>
  <c r="AJ21" i="38"/>
  <c r="O20" i="5" s="1"/>
  <c r="AM20" i="38"/>
  <c r="AJ20" i="38"/>
  <c r="AM18" i="38"/>
  <c r="AI18" i="38"/>
  <c r="AH18" i="38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AM17" i="38"/>
  <c r="AJ17" i="38" s="1"/>
  <c r="O16" i="5" s="1"/>
  <c r="AM16" i="38"/>
  <c r="AJ16" i="38" s="1"/>
  <c r="AJ18" i="38" s="1"/>
  <c r="O17" i="5" s="1"/>
  <c r="AM14" i="38"/>
  <c r="AI14" i="38"/>
  <c r="AH14" i="38"/>
  <c r="AG14" i="38"/>
  <c r="AF14" i="38"/>
  <c r="AE14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AM13" i="38"/>
  <c r="AJ13" i="38"/>
  <c r="O12" i="5" s="1"/>
  <c r="AM12" i="38"/>
  <c r="AJ12" i="38"/>
  <c r="O11" i="5" s="1"/>
  <c r="AM11" i="38"/>
  <c r="AJ11" i="38"/>
  <c r="AM10" i="38"/>
  <c r="C6" i="38"/>
  <c r="C5" i="38"/>
  <c r="C4" i="38"/>
  <c r="AM34" i="37"/>
  <c r="AM33" i="37"/>
  <c r="AI33" i="37"/>
  <c r="AH33" i="37"/>
  <c r="AG33" i="37"/>
  <c r="AF33" i="37"/>
  <c r="AE33" i="37"/>
  <c r="AD33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AM32" i="37"/>
  <c r="AJ32" i="37" s="1"/>
  <c r="E31" i="5" s="1"/>
  <c r="AM31" i="37"/>
  <c r="AJ31" i="37" s="1"/>
  <c r="E30" i="5" s="1"/>
  <c r="AM30" i="37"/>
  <c r="AJ30" i="37" s="1"/>
  <c r="E29" i="5" s="1"/>
  <c r="AM29" i="37"/>
  <c r="AJ29" i="37" s="1"/>
  <c r="E28" i="5" s="1"/>
  <c r="AM28" i="37"/>
  <c r="AJ28" i="37" s="1"/>
  <c r="E27" i="5" s="1"/>
  <c r="AM27" i="37"/>
  <c r="AJ27" i="37" s="1"/>
  <c r="E26" i="5" s="1"/>
  <c r="AM26" i="37"/>
  <c r="AJ26" i="37" s="1"/>
  <c r="E25" i="5" s="1"/>
  <c r="AM25" i="37"/>
  <c r="AJ25" i="37" s="1"/>
  <c r="E24" i="5" s="1"/>
  <c r="AM24" i="37"/>
  <c r="AJ24" i="37" s="1"/>
  <c r="E23" i="5" s="1"/>
  <c r="AM23" i="37"/>
  <c r="AJ23" i="37" s="1"/>
  <c r="E22" i="5" s="1"/>
  <c r="AM22" i="37"/>
  <c r="AJ22" i="37" s="1"/>
  <c r="E21" i="5" s="1"/>
  <c r="AM21" i="37"/>
  <c r="AJ21" i="37" s="1"/>
  <c r="E20" i="5" s="1"/>
  <c r="AM20" i="37"/>
  <c r="AJ20" i="37" s="1"/>
  <c r="E19" i="5" s="1"/>
  <c r="AM18" i="37"/>
  <c r="AI18" i="37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AM17" i="37"/>
  <c r="AJ17" i="37"/>
  <c r="E16" i="5" s="1"/>
  <c r="AM16" i="37"/>
  <c r="AJ16" i="37"/>
  <c r="E15" i="5" s="1"/>
  <c r="AM14" i="37"/>
  <c r="AI14" i="37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AM13" i="37"/>
  <c r="AM12" i="37"/>
  <c r="AM11" i="37"/>
  <c r="AJ13" i="37" s="1"/>
  <c r="E12" i="5" s="1"/>
  <c r="AJ11" i="37"/>
  <c r="E10" i="5" s="1"/>
  <c r="AM10" i="37"/>
  <c r="AJ12" i="37" s="1"/>
  <c r="E11" i="5" s="1"/>
  <c r="C6" i="37"/>
  <c r="C5" i="37"/>
  <c r="C4" i="37"/>
  <c r="AM18" i="33"/>
  <c r="AJ14" i="40" l="1"/>
  <c r="M13" i="5" s="1"/>
  <c r="AJ18" i="43"/>
  <c r="K17" i="5" s="1"/>
  <c r="AJ33" i="42"/>
  <c r="N32" i="5" s="1"/>
  <c r="AJ18" i="42"/>
  <c r="N17" i="5" s="1"/>
  <c r="AJ14" i="43"/>
  <c r="K13" i="5" s="1"/>
  <c r="AJ33" i="45"/>
  <c r="H32" i="5" s="1"/>
  <c r="AJ18" i="41"/>
  <c r="AJ33" i="38"/>
  <c r="O32" i="5" s="1"/>
  <c r="AJ14" i="38"/>
  <c r="O13" i="5" s="1"/>
  <c r="O19" i="5"/>
  <c r="N19" i="5"/>
  <c r="AJ33" i="40"/>
  <c r="M32" i="5" s="1"/>
  <c r="AJ33" i="47"/>
  <c r="J32" i="5" s="1"/>
  <c r="H19" i="5"/>
  <c r="AJ33" i="44"/>
  <c r="AJ33" i="41"/>
  <c r="O15" i="5"/>
  <c r="N15" i="5"/>
  <c r="K16" i="5"/>
  <c r="AJ18" i="47"/>
  <c r="J17" i="5" s="1"/>
  <c r="AJ18" i="45"/>
  <c r="H17" i="5" s="1"/>
  <c r="AJ18" i="37"/>
  <c r="E17" i="5" s="1"/>
  <c r="O10" i="5"/>
  <c r="N10" i="5"/>
  <c r="M10" i="5"/>
  <c r="K10" i="5"/>
  <c r="J10" i="5"/>
  <c r="N13" i="5"/>
  <c r="AJ14" i="46"/>
  <c r="I13" i="5" s="1"/>
  <c r="AJ14" i="45"/>
  <c r="H13" i="5" s="1"/>
  <c r="AJ14" i="41"/>
  <c r="AJ14" i="37"/>
  <c r="E13" i="5" s="1"/>
  <c r="AJ33" i="46"/>
  <c r="I32" i="5" s="1"/>
  <c r="AJ18" i="46"/>
  <c r="I17" i="5" s="1"/>
  <c r="AJ14" i="44"/>
  <c r="AJ18" i="44"/>
  <c r="AJ33" i="43"/>
  <c r="K32" i="5" s="1"/>
  <c r="AJ18" i="40"/>
  <c r="AJ14" i="39"/>
  <c r="L13" i="5" s="1"/>
  <c r="AJ33" i="39"/>
  <c r="L32" i="5" s="1"/>
  <c r="AJ18" i="39"/>
  <c r="L17" i="5" s="1"/>
  <c r="AJ33" i="37"/>
  <c r="E32" i="5" s="1"/>
  <c r="AG18" i="33"/>
  <c r="AG33" i="33"/>
  <c r="AH14" i="33"/>
  <c r="AJ34" i="41" l="1"/>
  <c r="AJ34" i="42"/>
  <c r="AJ34" i="43"/>
  <c r="AJ34" i="38"/>
  <c r="AJ34" i="40"/>
  <c r="M17" i="5"/>
  <c r="AJ34" i="47"/>
  <c r="AJ34" i="45"/>
  <c r="AJ34" i="46"/>
  <c r="AJ34" i="37"/>
  <c r="AJ34" i="44"/>
  <c r="AJ34" i="39"/>
  <c r="F33" i="33"/>
  <c r="G33" i="33"/>
  <c r="H33" i="33"/>
  <c r="I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AE33" i="33"/>
  <c r="AF33" i="33"/>
  <c r="AH33" i="33"/>
  <c r="AI33" i="33"/>
  <c r="E33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H18" i="33"/>
  <c r="AI18" i="33"/>
  <c r="H14" i="33"/>
  <c r="E18" i="33"/>
  <c r="AM29" i="33"/>
  <c r="AM34" i="33"/>
  <c r="AM33" i="33"/>
  <c r="AM32" i="33"/>
  <c r="AM31" i="33"/>
  <c r="AM30" i="33"/>
  <c r="AM28" i="33"/>
  <c r="AM27" i="33"/>
  <c r="AM26" i="33"/>
  <c r="AM25" i="33"/>
  <c r="AJ25" i="33" s="1"/>
  <c r="AM24" i="33"/>
  <c r="AJ24" i="33" s="1"/>
  <c r="AM23" i="33"/>
  <c r="AJ23" i="33" s="1"/>
  <c r="AM22" i="33"/>
  <c r="AJ22" i="33" s="1"/>
  <c r="AM21" i="33"/>
  <c r="AJ21" i="33" s="1"/>
  <c r="AM20" i="33"/>
  <c r="AJ20" i="33" s="1"/>
  <c r="AM17" i="33"/>
  <c r="AM16" i="33"/>
  <c r="AM14" i="33"/>
  <c r="AM13" i="33"/>
  <c r="AM11" i="33"/>
  <c r="F14" i="33"/>
  <c r="G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AI14" i="33"/>
  <c r="E14" i="33"/>
  <c r="AM12" i="33"/>
  <c r="D5" i="5" l="1"/>
  <c r="D4" i="5"/>
  <c r="AJ16" i="33" l="1"/>
  <c r="AJ17" i="33" l="1"/>
  <c r="AJ18" i="33" s="1"/>
  <c r="F52" i="23"/>
  <c r="C8" i="23"/>
  <c r="F8" i="23"/>
  <c r="F9" i="23"/>
  <c r="C10" i="23"/>
  <c r="C5" i="33"/>
  <c r="C6" i="33"/>
  <c r="C4" i="33"/>
  <c r="D2" i="35"/>
  <c r="D19" i="5" l="1"/>
  <c r="P19" i="5" s="1"/>
  <c r="E32" i="23" s="1"/>
  <c r="G32" i="23" s="1"/>
  <c r="AI28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A21" i="34"/>
  <c r="A22" i="34" s="1"/>
  <c r="A23" i="34" s="1"/>
  <c r="A24" i="34" s="1"/>
  <c r="A25" i="34" s="1"/>
  <c r="A26" i="34" s="1"/>
  <c r="AM18" i="34"/>
  <c r="AM19" i="34" s="1"/>
  <c r="AM20" i="34" s="1"/>
  <c r="AI18" i="34"/>
  <c r="AH18" i="34"/>
  <c r="AG18" i="34"/>
  <c r="AF18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AI14" i="34"/>
  <c r="AH14" i="34"/>
  <c r="AG14" i="34"/>
  <c r="AF14" i="34"/>
  <c r="AE14" i="34"/>
  <c r="AD14" i="34"/>
  <c r="AC14" i="34"/>
  <c r="AB14" i="34"/>
  <c r="AA14" i="34"/>
  <c r="Z14" i="34"/>
  <c r="Y14" i="34"/>
  <c r="X14" i="34"/>
  <c r="W14" i="34"/>
  <c r="V14" i="34"/>
  <c r="U14" i="34"/>
  <c r="T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AJ11" i="34"/>
  <c r="AM10" i="34"/>
  <c r="AM11" i="34" s="1"/>
  <c r="C4" i="34"/>
  <c r="D21" i="5" l="1"/>
  <c r="AM21" i="34"/>
  <c r="AJ20" i="34"/>
  <c r="AJ28" i="34" s="1"/>
  <c r="AJ13" i="34"/>
  <c r="AM12" i="34"/>
  <c r="AM13" i="34" s="1"/>
  <c r="AM14" i="34" s="1"/>
  <c r="AM15" i="34" s="1"/>
  <c r="AM16" i="34" s="1"/>
  <c r="AJ12" i="34"/>
  <c r="AJ11" i="33"/>
  <c r="D10" i="5" s="1"/>
  <c r="AM10" i="33"/>
  <c r="P10" i="5" l="1"/>
  <c r="P21" i="5"/>
  <c r="E34" i="23" s="1"/>
  <c r="G34" i="23" s="1"/>
  <c r="D23" i="5"/>
  <c r="AJ12" i="33"/>
  <c r="D11" i="5" s="1"/>
  <c r="AJ14" i="34"/>
  <c r="AM22" i="34"/>
  <c r="AJ21" i="34"/>
  <c r="AJ16" i="34"/>
  <c r="AM17" i="34"/>
  <c r="AJ17" i="34" s="1"/>
  <c r="D20" i="5" l="1"/>
  <c r="P20" i="5" s="1"/>
  <c r="E33" i="23" s="1"/>
  <c r="G33" i="23" s="1"/>
  <c r="P23" i="5"/>
  <c r="E36" i="23" s="1"/>
  <c r="G36" i="23" s="1"/>
  <c r="D22" i="5"/>
  <c r="P22" i="5" s="1"/>
  <c r="E35" i="23" s="1"/>
  <c r="G35" i="23" s="1"/>
  <c r="AM23" i="34"/>
  <c r="AJ22" i="34"/>
  <c r="AJ18" i="34"/>
  <c r="AJ29" i="34" s="1"/>
  <c r="AJ13" i="33"/>
  <c r="AJ14" i="33" s="1"/>
  <c r="D24" i="5" l="1"/>
  <c r="AJ27" i="33"/>
  <c r="D26" i="5" s="1"/>
  <c r="AJ26" i="33"/>
  <c r="D12" i="5"/>
  <c r="D13" i="5" s="1"/>
  <c r="AM24" i="34"/>
  <c r="AJ23" i="34"/>
  <c r="D15" i="5"/>
  <c r="D16" i="5"/>
  <c r="D17" i="5" l="1"/>
  <c r="D25" i="5"/>
  <c r="AM25" i="34"/>
  <c r="AJ24" i="34"/>
  <c r="AJ28" i="33"/>
  <c r="C4" i="5"/>
  <c r="D27" i="5" l="1"/>
  <c r="AM26" i="34"/>
  <c r="AJ25" i="34"/>
  <c r="AJ29" i="33"/>
  <c r="D28" i="5" s="1"/>
  <c r="E23" i="23"/>
  <c r="G23" i="23" s="1"/>
  <c r="AJ26" i="34" l="1"/>
  <c r="AM27" i="34"/>
  <c r="AJ30" i="33"/>
  <c r="D29" i="5" s="1"/>
  <c r="AJ27" i="34" l="1"/>
  <c r="AM28" i="34"/>
  <c r="AM29" i="34" s="1"/>
  <c r="AJ31" i="33"/>
  <c r="D30" i="5" s="1"/>
  <c r="P12" i="5"/>
  <c r="E25" i="23" s="1"/>
  <c r="G25" i="23" s="1"/>
  <c r="P11" i="5"/>
  <c r="E24" i="23" s="1"/>
  <c r="G24" i="23" s="1"/>
  <c r="D26" i="23" l="1"/>
  <c r="AJ32" i="33"/>
  <c r="AJ33" i="33" s="1"/>
  <c r="D32" i="5" l="1"/>
  <c r="AJ34" i="33"/>
  <c r="D31" i="5"/>
  <c r="P13" i="5"/>
  <c r="P15" i="5"/>
  <c r="E28" i="23" s="1"/>
  <c r="G28" i="23" s="1"/>
  <c r="P16" i="5"/>
  <c r="E29" i="23" s="1"/>
  <c r="G29" i="23" s="1"/>
  <c r="D30" i="23" l="1"/>
  <c r="P24" i="5"/>
  <c r="E37" i="23" s="1"/>
  <c r="G37" i="23" s="1"/>
  <c r="P17" i="5" l="1"/>
  <c r="P25" i="5"/>
  <c r="E38" i="23" s="1"/>
  <c r="G38" i="23" s="1"/>
  <c r="P27" i="5" l="1"/>
  <c r="E40" i="23" s="1"/>
  <c r="G40" i="23" s="1"/>
  <c r="P26" i="5"/>
  <c r="E39" i="23" s="1"/>
  <c r="G39" i="23" s="1"/>
  <c r="P28" i="5" l="1"/>
  <c r="E41" i="23" s="1"/>
  <c r="G41" i="23" s="1"/>
  <c r="P29" i="5" l="1"/>
  <c r="E42" i="23" s="1"/>
  <c r="G42" i="23" s="1"/>
  <c r="P30" i="5"/>
  <c r="E43" i="23" s="1"/>
  <c r="G43" i="23" s="1"/>
  <c r="P31" i="5" l="1"/>
  <c r="E44" i="23" s="1"/>
  <c r="G44" i="23" s="1"/>
  <c r="D45" i="23" s="1"/>
  <c r="D46" i="23" s="1"/>
  <c r="P32" i="5" l="1"/>
  <c r="P33" i="5" s="1"/>
</calcChain>
</file>

<file path=xl/sharedStrings.xml><?xml version="1.0" encoding="utf-8"?>
<sst xmlns="http://schemas.openxmlformats.org/spreadsheetml/2006/main" count="631" uniqueCount="133">
  <si>
    <t xml:space="preserve">NAMA                </t>
  </si>
  <si>
    <t xml:space="preserve">JABATAN          </t>
  </si>
  <si>
    <t>PENILAIAN KINERJA PERAWAT</t>
  </si>
  <si>
    <t>Melaporkan insiden keselamatan pasien</t>
  </si>
  <si>
    <t>Tidak ada keluhan dari teman sejawat/profesi lain/pasien dan keluarga</t>
  </si>
  <si>
    <t>Kepatuhan terhadap kode etik keperawatan</t>
  </si>
  <si>
    <t>A. PERILAKU ( 40 % )</t>
  </si>
  <si>
    <t>NO</t>
  </si>
  <si>
    <t>INDIKATOR YANG DINILAI</t>
  </si>
  <si>
    <t>APRIL</t>
  </si>
  <si>
    <t>MEI</t>
  </si>
  <si>
    <t>JUNI</t>
  </si>
  <si>
    <t>JUMLAH RATA - RATA</t>
  </si>
  <si>
    <t>:</t>
  </si>
  <si>
    <t>PK</t>
  </si>
  <si>
    <t>Kepatuhan dalam memberikan pendidikan pasien dan keluarga</t>
  </si>
  <si>
    <t>Kepatuhan identifikasi pasien</t>
  </si>
  <si>
    <t>Kepatuhan pemakaian APD dengan benar</t>
  </si>
  <si>
    <t>Kepatuhan kebersihan tangan</t>
  </si>
  <si>
    <t>Kepatuhan upaya pencegahan resiko pasien jatuh</t>
  </si>
  <si>
    <t>Kepatuhan melaksanakan hand over antar petugas dengan metode SBAR</t>
  </si>
  <si>
    <t>Kepatuhan melaksanakan double chek obat high allert</t>
  </si>
  <si>
    <t>Kemampuan menangani life saving anak dan dewasa</t>
  </si>
  <si>
    <t xml:space="preserve">KEPALA RUANG </t>
  </si>
  <si>
    <t>WINARTI PANGREH UTAMI, S.Kep.Ns</t>
  </si>
  <si>
    <t xml:space="preserve">CAPAIAN PENGEMBANGAN PROFESI PETUGAS IGD </t>
  </si>
  <si>
    <t>PERIODE JANUARI SAMPAI DENGAN JUNI 2022</t>
  </si>
  <si>
    <t xml:space="preserve">NAMA PETUGAS </t>
  </si>
  <si>
    <t>JUMLAH PELATIHAN YANG DIIKUTI</t>
  </si>
  <si>
    <t xml:space="preserve">NIP. 19710125 199603 2 002 </t>
  </si>
  <si>
    <t xml:space="preserve">AHMAD NURDIN, S.Kep. Ns. </t>
  </si>
  <si>
    <t>WIJI UTAMI, S.Kep,Ns</t>
  </si>
  <si>
    <t>Ns.TULUS GATOT WIDODO,S.Kep</t>
  </si>
  <si>
    <t xml:space="preserve">AJIB, AMK </t>
  </si>
  <si>
    <t>AGUNG DWI JAYANTO, Amd.Kep</t>
  </si>
  <si>
    <t>PUSPITA ROSIANA D., AMd. Kep</t>
  </si>
  <si>
    <t>BAYU ISDIANTO, AMd.Kep</t>
  </si>
  <si>
    <t>ALI ASRORI, AMK</t>
  </si>
  <si>
    <t xml:space="preserve">ENI WIDIASTUTI, AMK </t>
  </si>
  <si>
    <t>ANDI FEBRIANTORO, Amd. Kep</t>
  </si>
  <si>
    <t xml:space="preserve">AGUS FIRMANSYAH, Amd.Kep </t>
  </si>
  <si>
    <t>QUNIK ZULFA IMAROH, AMd. Kep</t>
  </si>
  <si>
    <t>MAKMUN WICAKSONO, S.Tr.Kep,Ns</t>
  </si>
  <si>
    <t>EVA BALGIST RIZAMI, AMd. Kep</t>
  </si>
  <si>
    <t>WAHYU NUR INDAHSAH, S.Kep,Ns</t>
  </si>
  <si>
    <t xml:space="preserve">ISTIN YULIA SUSANA, AMd. Kep </t>
  </si>
  <si>
    <t>A. AYU CAHYANINGTYAS, S. Kep, Ns</t>
  </si>
  <si>
    <t>DEKA NOVENDA S., AMd.Kep</t>
  </si>
  <si>
    <t>IQLIMA NUR HAMIDA, Amd.Kep</t>
  </si>
  <si>
    <t>MIRANTI HP.,SST</t>
  </si>
  <si>
    <t>DEVITA, Amd.Keb</t>
  </si>
  <si>
    <t>SUYANAH, SST</t>
  </si>
  <si>
    <t>IIS DIANA SARI, A.Md. Keb</t>
  </si>
  <si>
    <t>SITI DJUWARIYAH, A.Md Keb</t>
  </si>
  <si>
    <t>PRIHANDINI WIRANINGTYAS</t>
  </si>
  <si>
    <t>JOKO IVNU SANTOSO</t>
  </si>
  <si>
    <t>HADI SISWANTO</t>
  </si>
  <si>
    <t>ARI SODIQ FAUZAN</t>
  </si>
  <si>
    <t>B. PENGEMBANGAN PROFESI (10%)</t>
  </si>
  <si>
    <t>C. KINERJA KLINIS (50%)</t>
  </si>
  <si>
    <t>TARGET (%)</t>
  </si>
  <si>
    <t>CAPAIAN (%)</t>
  </si>
  <si>
    <t>JANUARI</t>
  </si>
  <si>
    <t>FEBRUARI</t>
  </si>
  <si>
    <t>MARET</t>
  </si>
  <si>
    <t>JULI</t>
  </si>
  <si>
    <t>AGUSTUS</t>
  </si>
  <si>
    <t>SEPTEMBER</t>
  </si>
  <si>
    <t>OKTOBER</t>
  </si>
  <si>
    <t>NOVEMBER</t>
  </si>
  <si>
    <t>DESEMBER</t>
  </si>
  <si>
    <t>RATA - RATA CAPAIAN</t>
  </si>
  <si>
    <t>TAHUN 2023</t>
  </si>
  <si>
    <t>TOTAL NILAI PERILAKU + PENGEMBANGAN PROFESI + KINERJA KLINIS</t>
  </si>
  <si>
    <t>BULAN : JANUARI</t>
  </si>
  <si>
    <t>RUMUS WAJIB DIISI</t>
  </si>
  <si>
    <t>JUMLAH HARI  :</t>
  </si>
  <si>
    <t>PROFESI PERAWAT</t>
  </si>
  <si>
    <t>NAMA PEGAWAI YANG DINILAI</t>
  </si>
  <si>
    <t>NIP</t>
  </si>
  <si>
    <t>UNIT KERJA</t>
  </si>
  <si>
    <t>PENILAI</t>
  </si>
  <si>
    <t>NAMA</t>
  </si>
  <si>
    <t>ATASAN PEJABAT PENILAI</t>
  </si>
  <si>
    <t>PEGAWAI YANG DIEVALUASI</t>
  </si>
  <si>
    <t>………………………………………………………….</t>
  </si>
  <si>
    <t>MENGETAHUI</t>
  </si>
  <si>
    <t>KEPALA BIDANG KEPERAWATAN</t>
  </si>
  <si>
    <t>TARGET</t>
  </si>
  <si>
    <t>CAPAIAN</t>
  </si>
  <si>
    <t>BOBOT (%)</t>
  </si>
  <si>
    <t>NILAI HASIL KINERJA</t>
  </si>
  <si>
    <t>&gt;85</t>
  </si>
  <si>
    <t>&lt;5 mnt</t>
  </si>
  <si>
    <t>C. KINERJA KLINIS (50%) (DISESUAIKAN DENGAN RUANG MASING2)</t>
  </si>
  <si>
    <t xml:space="preserve">: PERAWAT </t>
  </si>
  <si>
    <t xml:space="preserve">: KABID KEPERAWATAN				</t>
  </si>
  <si>
    <t>: BIDANG KEPERAWATAN</t>
  </si>
  <si>
    <t>.</t>
  </si>
  <si>
    <t xml:space="preserve">Menunjukan perilaku bertanggung gugat terhadap praktek profesional </t>
  </si>
  <si>
    <t>BULAN : DESEMBER</t>
  </si>
  <si>
    <t>BULAN : OKTOBER</t>
  </si>
  <si>
    <t>BULAN : SEPTEMBER</t>
  </si>
  <si>
    <t>BULAN : AGUSTUS</t>
  </si>
  <si>
    <t>BULAN : JULI</t>
  </si>
  <si>
    <t>BULAN : JUNI</t>
  </si>
  <si>
    <t>BULAN : MEI</t>
  </si>
  <si>
    <t>BULAN : APRIL</t>
  </si>
  <si>
    <t>BULAN : MARET</t>
  </si>
  <si>
    <t>BULAN : FEBRUARI</t>
  </si>
  <si>
    <t xml:space="preserve">SESUAI STANDAR AKRIDITASI RUMAH SAKIT </t>
  </si>
  <si>
    <t xml:space="preserve">loogbook perawat </t>
  </si>
  <si>
    <t xml:space="preserve">RSU Sakina idaman </t>
  </si>
  <si>
    <t xml:space="preserve">UNIT </t>
  </si>
  <si>
    <t>UNIT</t>
  </si>
  <si>
    <t xml:space="preserve">: </t>
  </si>
  <si>
    <t>Kecepatan pelayanan pasien dengan risiko tinggi</t>
  </si>
  <si>
    <t>LOGBOOK PERAWAT</t>
  </si>
  <si>
    <t>RSU SAKINA IDAMAN</t>
  </si>
  <si>
    <t>Tulis nama di sini</t>
  </si>
  <si>
    <t>Tulis PK di sini</t>
  </si>
  <si>
    <t>Tulis Unit di sini</t>
  </si>
  <si>
    <t>Tulis NIP di sini</t>
  </si>
  <si>
    <t>BULAN : NOVEMBER</t>
  </si>
  <si>
    <t>Ada keluhan dari teman sejawat/profesi lain/pasien dan keluarga</t>
  </si>
  <si>
    <t xml:space="preserve">Pengkajian Pasien </t>
  </si>
  <si>
    <t xml:space="preserve">Menetapkan diagnosa Keperawatan </t>
  </si>
  <si>
    <t xml:space="preserve">Menyusun rencana keperawatan </t>
  </si>
  <si>
    <t xml:space="preserve">Melakukan tindakan keperawatan </t>
  </si>
  <si>
    <t xml:space="preserve">Melakukan dokumentasi keperawatan </t>
  </si>
  <si>
    <t>Ketepatan pelayanan pasien dengan risiko tinggi</t>
  </si>
  <si>
    <t>TOTAL</t>
  </si>
  <si>
    <r>
      <t xml:space="preserve">Jumlah pengembangan profesi yang diikuti (pelatihan,seminar,Bimtek target </t>
    </r>
    <r>
      <rPr>
        <sz val="12"/>
        <color rgb="FFC00000"/>
        <rFont val="Arial"/>
        <family val="2"/>
      </rPr>
      <t xml:space="preserve">5 </t>
    </r>
    <r>
      <rPr>
        <sz val="12"/>
        <color theme="1"/>
        <rFont val="Arial"/>
        <family val="2"/>
      </rPr>
      <t xml:space="preserve"> SKP/tahun)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</si>
</sst>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 Black"/>
      <family val="2"/>
    </font>
    <font>
      <b/>
      <sz val="14"/>
      <color indexed="8"/>
      <name val="Arial"/>
      <family val="2"/>
    </font>
    <font>
      <b/>
      <sz val="18"/>
      <color theme="1"/>
      <name val="Arial"/>
      <family val="2"/>
    </font>
    <font>
      <u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2" fillId="0" borderId="0" xfId="1" applyFont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1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2" fontId="8" fillId="3" borderId="3" xfId="0" applyNumberFormat="1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vertical="center"/>
    </xf>
    <xf numFmtId="2" fontId="2" fillId="0" borderId="3" xfId="0" applyNumberFormat="1" applyFont="1" applyBorder="1"/>
    <xf numFmtId="2" fontId="2" fillId="3" borderId="5" xfId="0" applyNumberFormat="1" applyFont="1" applyFill="1" applyBorder="1" applyAlignment="1">
      <alignment horizontal="center" vertical="center"/>
    </xf>
    <xf numFmtId="2" fontId="3" fillId="0" borderId="4" xfId="0" applyNumberFormat="1" applyFont="1" applyBorder="1" applyAlignment="1">
      <alignment horizontal="left" vertical="center" indent="1"/>
    </xf>
    <xf numFmtId="2" fontId="2" fillId="0" borderId="3" xfId="0" applyNumberFormat="1" applyFont="1" applyBorder="1" applyAlignment="1">
      <alignment horizontal="center" vertical="center"/>
    </xf>
    <xf numFmtId="0" fontId="2" fillId="4" borderId="11" xfId="0" applyFont="1" applyFill="1" applyBorder="1"/>
    <xf numFmtId="0" fontId="2" fillId="4" borderId="12" xfId="0" applyFont="1" applyFill="1" applyBorder="1"/>
    <xf numFmtId="0" fontId="3" fillId="4" borderId="10" xfId="0" applyFont="1" applyFill="1" applyBorder="1"/>
    <xf numFmtId="0" fontId="10" fillId="4" borderId="9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3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0" applyFont="1"/>
    <xf numFmtId="0" fontId="11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indent="1"/>
    </xf>
    <xf numFmtId="0" fontId="10" fillId="4" borderId="16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4" borderId="3" xfId="0" applyFont="1" applyFill="1" applyBorder="1"/>
    <xf numFmtId="0" fontId="2" fillId="4" borderId="3" xfId="0" applyFont="1" applyFill="1" applyBorder="1"/>
    <xf numFmtId="0" fontId="2" fillId="0" borderId="3" xfId="0" applyFont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2" fillId="6" borderId="3" xfId="1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2" fontId="3" fillId="0" borderId="2" xfId="0" applyNumberFormat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1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2" fontId="2" fillId="0" borderId="0" xfId="0" applyNumberFormat="1" applyFont="1" applyAlignment="1">
      <alignment vertical="center"/>
    </xf>
    <xf numFmtId="164" fontId="2" fillId="0" borderId="0" xfId="0" applyNumberFormat="1" applyFont="1"/>
    <xf numFmtId="164" fontId="3" fillId="0" borderId="0" xfId="0" applyNumberFormat="1" applyFont="1" applyAlignment="1">
      <alignment horizontal="left" vertical="center"/>
    </xf>
    <xf numFmtId="1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0" borderId="3" xfId="1" applyFont="1" applyBorder="1" applyAlignment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M29"/>
  <sheetViews>
    <sheetView topLeftCell="A21" zoomScale="85" zoomScaleNormal="85" workbookViewId="0">
      <selection sqref="A1:AJ2"/>
    </sheetView>
  </sheetViews>
  <sheetFormatPr defaultColWidth="9.140625"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&amp;'3'!B33</f>
        <v xml:space="preserve">: </v>
      </c>
      <c r="D4" s="18"/>
    </row>
    <row r="5" spans="1:39" x14ac:dyDescent="0.2">
      <c r="A5" s="115" t="s">
        <v>14</v>
      </c>
      <c r="B5" s="115"/>
      <c r="C5" s="13" t="s">
        <v>13</v>
      </c>
    </row>
    <row r="6" spans="1:39" x14ac:dyDescent="0.2">
      <c r="A6" s="20" t="s">
        <v>113</v>
      </c>
      <c r="B6" s="20"/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100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43" t="s">
        <v>75</v>
      </c>
      <c r="AM8" s="41"/>
    </row>
    <row r="9" spans="1:39" ht="21.75" customHeight="1" thickBot="1" x14ac:dyDescent="0.4">
      <c r="A9" s="117"/>
      <c r="B9" s="117"/>
      <c r="C9" s="117"/>
      <c r="D9" s="119"/>
      <c r="E9" s="26">
        <v>1</v>
      </c>
      <c r="F9" s="26">
        <v>2</v>
      </c>
      <c r="G9" s="26">
        <v>3</v>
      </c>
      <c r="H9" s="26">
        <v>4</v>
      </c>
      <c r="I9" s="26">
        <v>5</v>
      </c>
      <c r="J9" s="26">
        <v>6</v>
      </c>
      <c r="K9" s="26">
        <v>7</v>
      </c>
      <c r="L9" s="26">
        <v>8</v>
      </c>
      <c r="M9" s="26">
        <v>9</v>
      </c>
      <c r="N9" s="26">
        <v>10</v>
      </c>
      <c r="O9" s="26">
        <v>11</v>
      </c>
      <c r="P9" s="26">
        <v>12</v>
      </c>
      <c r="Q9" s="26">
        <v>13</v>
      </c>
      <c r="R9" s="26">
        <v>14</v>
      </c>
      <c r="S9" s="26">
        <v>15</v>
      </c>
      <c r="T9" s="26">
        <v>16</v>
      </c>
      <c r="U9" s="26">
        <v>17</v>
      </c>
      <c r="V9" s="26">
        <v>18</v>
      </c>
      <c r="W9" s="26">
        <v>19</v>
      </c>
      <c r="X9" s="26">
        <v>20</v>
      </c>
      <c r="Y9" s="26">
        <v>21</v>
      </c>
      <c r="Z9" s="26">
        <v>22</v>
      </c>
      <c r="AA9" s="26">
        <v>23</v>
      </c>
      <c r="AB9" s="26">
        <v>24</v>
      </c>
      <c r="AC9" s="26">
        <v>25</v>
      </c>
      <c r="AD9" s="26">
        <v>26</v>
      </c>
      <c r="AE9" s="26">
        <v>27</v>
      </c>
      <c r="AF9" s="26">
        <v>28</v>
      </c>
      <c r="AG9" s="26">
        <v>29</v>
      </c>
      <c r="AH9" s="26">
        <v>30</v>
      </c>
      <c r="AI9" s="26">
        <v>31</v>
      </c>
      <c r="AJ9" s="118"/>
      <c r="AL9" s="42" t="s">
        <v>76</v>
      </c>
      <c r="AM9" s="44">
        <v>28</v>
      </c>
    </row>
    <row r="10" spans="1:39" s="15" customFormat="1" ht="21" hidden="1" customHeight="1" x14ac:dyDescent="0.25">
      <c r="A10" s="2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M10" s="45">
        <f>AM9</f>
        <v>28</v>
      </c>
    </row>
    <row r="11" spans="1:39" ht="26.25" customHeight="1" x14ac:dyDescent="0.2">
      <c r="A11" s="16">
        <v>1</v>
      </c>
      <c r="B11" s="101" t="s">
        <v>3</v>
      </c>
      <c r="C11" s="101"/>
      <c r="D11" s="24">
        <v>100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34">
        <f>SUM(E11:AI11)/AM9*40/100</f>
        <v>0</v>
      </c>
      <c r="AM11" s="46">
        <f t="shared" ref="AM11:AM29" si="0">AM10</f>
        <v>28</v>
      </c>
    </row>
    <row r="12" spans="1:39" ht="34.5" customHeight="1" x14ac:dyDescent="0.2">
      <c r="A12" s="2">
        <v>2</v>
      </c>
      <c r="B12" s="102" t="s">
        <v>4</v>
      </c>
      <c r="C12" s="102"/>
      <c r="D12" s="24">
        <v>100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 t="s">
        <v>98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34">
        <f t="shared" ref="AJ12:AJ13" si="1">SUM(E12:AI12)/AM10*40/100</f>
        <v>0</v>
      </c>
      <c r="AM12" s="46">
        <f t="shared" si="0"/>
        <v>28</v>
      </c>
    </row>
    <row r="13" spans="1:39" ht="25.5" customHeight="1" x14ac:dyDescent="0.2">
      <c r="A13" s="2">
        <v>3</v>
      </c>
      <c r="B13" s="103" t="s">
        <v>5</v>
      </c>
      <c r="C13" s="104"/>
      <c r="D13" s="19">
        <v>100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34">
        <f t="shared" si="1"/>
        <v>0</v>
      </c>
      <c r="AM13" s="46">
        <f t="shared" si="0"/>
        <v>28</v>
      </c>
    </row>
    <row r="14" spans="1:39" ht="21" customHeight="1" x14ac:dyDescent="0.2">
      <c r="A14" s="105"/>
      <c r="B14" s="105"/>
      <c r="C14" s="105"/>
      <c r="D14" s="23"/>
      <c r="E14" s="23">
        <f>SUM(E11:E13)/3</f>
        <v>0</v>
      </c>
      <c r="F14" s="23">
        <f t="shared" ref="F14:AH14" si="2">SUM(F11:F13)/3</f>
        <v>0</v>
      </c>
      <c r="G14" s="23">
        <f t="shared" si="2"/>
        <v>0</v>
      </c>
      <c r="H14" s="23">
        <f t="shared" si="2"/>
        <v>0</v>
      </c>
      <c r="I14" s="23">
        <f t="shared" si="2"/>
        <v>0</v>
      </c>
      <c r="J14" s="23">
        <f t="shared" si="2"/>
        <v>0</v>
      </c>
      <c r="K14" s="23">
        <f t="shared" si="2"/>
        <v>0</v>
      </c>
      <c r="L14" s="23">
        <f t="shared" si="2"/>
        <v>0</v>
      </c>
      <c r="M14" s="23">
        <f t="shared" si="2"/>
        <v>0</v>
      </c>
      <c r="N14" s="23">
        <f t="shared" si="2"/>
        <v>0</v>
      </c>
      <c r="O14" s="23">
        <f t="shared" si="2"/>
        <v>0</v>
      </c>
      <c r="P14" s="23">
        <f t="shared" si="2"/>
        <v>0</v>
      </c>
      <c r="Q14" s="23">
        <f t="shared" si="2"/>
        <v>0</v>
      </c>
      <c r="R14" s="23">
        <f t="shared" si="2"/>
        <v>0</v>
      </c>
      <c r="S14" s="23">
        <v>0</v>
      </c>
      <c r="T14" s="23">
        <f t="shared" si="2"/>
        <v>0</v>
      </c>
      <c r="U14" s="23">
        <f t="shared" si="2"/>
        <v>0</v>
      </c>
      <c r="V14" s="23">
        <f t="shared" si="2"/>
        <v>0</v>
      </c>
      <c r="W14" s="23">
        <f t="shared" si="2"/>
        <v>0</v>
      </c>
      <c r="X14" s="23">
        <f t="shared" si="2"/>
        <v>0</v>
      </c>
      <c r="Y14" s="23">
        <f t="shared" si="2"/>
        <v>0</v>
      </c>
      <c r="Z14" s="23">
        <f t="shared" si="2"/>
        <v>0</v>
      </c>
      <c r="AA14" s="23">
        <f t="shared" si="2"/>
        <v>0</v>
      </c>
      <c r="AB14" s="23">
        <f t="shared" si="2"/>
        <v>0</v>
      </c>
      <c r="AC14" s="23">
        <f t="shared" si="2"/>
        <v>0</v>
      </c>
      <c r="AD14" s="23">
        <f t="shared" si="2"/>
        <v>0</v>
      </c>
      <c r="AE14" s="23">
        <f t="shared" si="2"/>
        <v>0</v>
      </c>
      <c r="AF14" s="23">
        <f t="shared" si="2"/>
        <v>0</v>
      </c>
      <c r="AG14" s="23">
        <f t="shared" si="2"/>
        <v>0</v>
      </c>
      <c r="AH14" s="23">
        <f t="shared" si="2"/>
        <v>0</v>
      </c>
      <c r="AI14" s="23">
        <f>SUM(AI11:AI13)/3</f>
        <v>0</v>
      </c>
      <c r="AJ14" s="35">
        <f>SUM(AJ11:AJ13)/3</f>
        <v>0</v>
      </c>
      <c r="AM14" s="46">
        <f t="shared" si="0"/>
        <v>28</v>
      </c>
    </row>
    <row r="15" spans="1:39" s="15" customFormat="1" ht="23.25" customHeight="1" x14ac:dyDescent="0.25">
      <c r="A15" s="29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8"/>
      <c r="AJ15" s="36"/>
      <c r="AM15" s="46">
        <f t="shared" si="0"/>
        <v>28</v>
      </c>
    </row>
    <row r="16" spans="1:39" ht="33" customHeight="1" x14ac:dyDescent="0.2">
      <c r="A16" s="2">
        <v>1</v>
      </c>
      <c r="B16" s="103" t="s">
        <v>99</v>
      </c>
      <c r="C16" s="104"/>
      <c r="D16" s="19">
        <v>100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34">
        <f>SUM(E16:AI16)/AM16*10/100</f>
        <v>0</v>
      </c>
      <c r="AM16" s="46">
        <f t="shared" si="0"/>
        <v>28</v>
      </c>
    </row>
    <row r="17" spans="1:39" ht="33.75" customHeight="1" x14ac:dyDescent="0.2">
      <c r="A17" s="2">
        <v>2</v>
      </c>
      <c r="B17" s="103" t="s">
        <v>15</v>
      </c>
      <c r="C17" s="104"/>
      <c r="D17" s="19">
        <v>100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34">
        <f t="shared" ref="AJ17" si="3">SUM(E17:AI17)/AM17*10/100</f>
        <v>0</v>
      </c>
      <c r="AM17" s="46">
        <f t="shared" si="0"/>
        <v>28</v>
      </c>
    </row>
    <row r="18" spans="1:39" ht="24" customHeight="1" x14ac:dyDescent="0.2">
      <c r="A18" s="106" t="s">
        <v>12</v>
      </c>
      <c r="B18" s="107"/>
      <c r="C18" s="108"/>
      <c r="D18" s="22"/>
      <c r="E18" s="23">
        <f t="shared" ref="E18:AJ18" si="4">SUM(E16:E17)/3</f>
        <v>0</v>
      </c>
      <c r="F18" s="23">
        <f t="shared" si="4"/>
        <v>0</v>
      </c>
      <c r="G18" s="23">
        <f t="shared" si="4"/>
        <v>0</v>
      </c>
      <c r="H18" s="23">
        <f t="shared" si="4"/>
        <v>0</v>
      </c>
      <c r="I18" s="23">
        <f t="shared" si="4"/>
        <v>0</v>
      </c>
      <c r="J18" s="23">
        <f t="shared" si="4"/>
        <v>0</v>
      </c>
      <c r="K18" s="23">
        <f t="shared" si="4"/>
        <v>0</v>
      </c>
      <c r="L18" s="23">
        <f t="shared" si="4"/>
        <v>0</v>
      </c>
      <c r="M18" s="23">
        <f t="shared" si="4"/>
        <v>0</v>
      </c>
      <c r="N18" s="23">
        <f t="shared" si="4"/>
        <v>0</v>
      </c>
      <c r="O18" s="23">
        <f t="shared" si="4"/>
        <v>0</v>
      </c>
      <c r="P18" s="23">
        <f t="shared" si="4"/>
        <v>0</v>
      </c>
      <c r="Q18" s="23">
        <f t="shared" si="4"/>
        <v>0</v>
      </c>
      <c r="R18" s="23">
        <f t="shared" si="4"/>
        <v>0</v>
      </c>
      <c r="S18" s="23">
        <f t="shared" si="4"/>
        <v>0</v>
      </c>
      <c r="T18" s="23">
        <f t="shared" si="4"/>
        <v>0</v>
      </c>
      <c r="U18" s="23">
        <f t="shared" si="4"/>
        <v>0</v>
      </c>
      <c r="V18" s="23">
        <f t="shared" si="4"/>
        <v>0</v>
      </c>
      <c r="W18" s="23">
        <f t="shared" si="4"/>
        <v>0</v>
      </c>
      <c r="X18" s="23">
        <f t="shared" si="4"/>
        <v>0</v>
      </c>
      <c r="Y18" s="23">
        <f t="shared" si="4"/>
        <v>0</v>
      </c>
      <c r="Z18" s="23">
        <f t="shared" si="4"/>
        <v>0</v>
      </c>
      <c r="AA18" s="23">
        <f t="shared" si="4"/>
        <v>0</v>
      </c>
      <c r="AB18" s="23">
        <f t="shared" si="4"/>
        <v>0</v>
      </c>
      <c r="AC18" s="23">
        <f t="shared" si="4"/>
        <v>0</v>
      </c>
      <c r="AD18" s="23">
        <f t="shared" si="4"/>
        <v>0</v>
      </c>
      <c r="AE18" s="23">
        <f t="shared" si="4"/>
        <v>0</v>
      </c>
      <c r="AF18" s="23">
        <f t="shared" si="4"/>
        <v>0</v>
      </c>
      <c r="AG18" s="23">
        <f t="shared" si="4"/>
        <v>0</v>
      </c>
      <c r="AH18" s="23">
        <f t="shared" si="4"/>
        <v>0</v>
      </c>
      <c r="AI18" s="23">
        <f t="shared" si="4"/>
        <v>0</v>
      </c>
      <c r="AJ18" s="35">
        <f t="shared" si="4"/>
        <v>0</v>
      </c>
      <c r="AM18" s="46" t="e">
        <f>#REF!</f>
        <v>#REF!</v>
      </c>
    </row>
    <row r="19" spans="1:39" ht="21.75" customHeight="1" x14ac:dyDescent="0.2">
      <c r="A19" s="29" t="s">
        <v>59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8"/>
      <c r="AJ19" s="37"/>
      <c r="AM19" s="46" t="e">
        <f t="shared" si="0"/>
        <v>#REF!</v>
      </c>
    </row>
    <row r="20" spans="1:39" ht="21.75" customHeight="1" x14ac:dyDescent="0.2">
      <c r="A20" s="2">
        <v>1</v>
      </c>
      <c r="B20" s="109" t="s">
        <v>16</v>
      </c>
      <c r="C20" s="110"/>
      <c r="D20" s="19">
        <v>100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34" t="e">
        <f>SUM(E20:AI20)/AM20*50/100</f>
        <v>#REF!</v>
      </c>
      <c r="AM20" s="46" t="e">
        <f t="shared" si="0"/>
        <v>#REF!</v>
      </c>
    </row>
    <row r="21" spans="1:39" ht="21.75" customHeight="1" x14ac:dyDescent="0.2">
      <c r="A21" s="2">
        <f>A20+1</f>
        <v>2</v>
      </c>
      <c r="B21" s="111" t="s">
        <v>17</v>
      </c>
      <c r="C21" s="111"/>
      <c r="D21" s="19">
        <v>100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34" t="e">
        <f t="shared" ref="AJ21:AJ27" si="5">SUM(E21:AI21)/AM21*50/100</f>
        <v>#REF!</v>
      </c>
      <c r="AM21" s="46" t="e">
        <f t="shared" si="0"/>
        <v>#REF!</v>
      </c>
    </row>
    <row r="22" spans="1:39" ht="21.75" customHeight="1" x14ac:dyDescent="0.2">
      <c r="A22" s="2">
        <f>A21+1</f>
        <v>3</v>
      </c>
      <c r="B22" s="112" t="s">
        <v>18</v>
      </c>
      <c r="C22" s="112"/>
      <c r="D22" s="19">
        <v>100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34" t="e">
        <f t="shared" si="5"/>
        <v>#REF!</v>
      </c>
      <c r="AM22" s="46" t="e">
        <f t="shared" si="0"/>
        <v>#REF!</v>
      </c>
    </row>
    <row r="23" spans="1:39" ht="21.75" customHeight="1" x14ac:dyDescent="0.2">
      <c r="A23" s="2">
        <f>A22+1</f>
        <v>4</v>
      </c>
      <c r="B23" s="112" t="s">
        <v>19</v>
      </c>
      <c r="C23" s="112"/>
      <c r="D23" s="19">
        <v>100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34" t="e">
        <f t="shared" si="5"/>
        <v>#REF!</v>
      </c>
      <c r="AM23" s="46" t="e">
        <f t="shared" si="0"/>
        <v>#REF!</v>
      </c>
    </row>
    <row r="24" spans="1:39" ht="34.5" customHeight="1" x14ac:dyDescent="0.2">
      <c r="A24" s="2">
        <f t="shared" ref="A24:A26" si="6">A23+1</f>
        <v>5</v>
      </c>
      <c r="B24" s="97" t="s">
        <v>20</v>
      </c>
      <c r="C24" s="98"/>
      <c r="D24" s="19">
        <v>100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34" t="e">
        <f t="shared" si="5"/>
        <v>#REF!</v>
      </c>
      <c r="AM24" s="46" t="e">
        <f t="shared" si="0"/>
        <v>#REF!</v>
      </c>
    </row>
    <row r="25" spans="1:39" ht="34.5" customHeight="1" x14ac:dyDescent="0.2">
      <c r="A25" s="2">
        <f t="shared" si="6"/>
        <v>6</v>
      </c>
      <c r="B25" s="97" t="s">
        <v>21</v>
      </c>
      <c r="C25" s="98"/>
      <c r="D25" s="19">
        <v>100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34" t="e">
        <f t="shared" si="5"/>
        <v>#REF!</v>
      </c>
      <c r="AM25" s="46" t="e">
        <f t="shared" si="0"/>
        <v>#REF!</v>
      </c>
    </row>
    <row r="26" spans="1:39" ht="34.5" customHeight="1" x14ac:dyDescent="0.2">
      <c r="A26" s="2">
        <f t="shared" si="6"/>
        <v>7</v>
      </c>
      <c r="B26" s="97" t="s">
        <v>22</v>
      </c>
      <c r="C26" s="98"/>
      <c r="D26" s="19">
        <v>100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34" t="e">
        <f t="shared" si="5"/>
        <v>#REF!</v>
      </c>
      <c r="AM26" s="46" t="e">
        <f t="shared" si="0"/>
        <v>#REF!</v>
      </c>
    </row>
    <row r="27" spans="1:39" ht="34.5" customHeight="1" x14ac:dyDescent="0.2">
      <c r="A27" s="2">
        <v>8</v>
      </c>
      <c r="B27" s="97" t="s">
        <v>116</v>
      </c>
      <c r="C27" s="98"/>
      <c r="D27" s="19">
        <v>100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34" t="e">
        <f t="shared" si="5"/>
        <v>#REF!</v>
      </c>
      <c r="AM27" s="46" t="e">
        <f t="shared" si="0"/>
        <v>#REF!</v>
      </c>
    </row>
    <row r="28" spans="1:39" ht="22.5" customHeight="1" x14ac:dyDescent="0.2">
      <c r="A28" s="99" t="s">
        <v>12</v>
      </c>
      <c r="B28" s="99"/>
      <c r="C28" s="99"/>
      <c r="D28" s="32"/>
      <c r="E28" s="23">
        <f>SUM(E20:E27)/8</f>
        <v>0</v>
      </c>
      <c r="F28" s="23">
        <f t="shared" ref="F28:AI28" si="7">SUM(F20:F27)/8</f>
        <v>0</v>
      </c>
      <c r="G28" s="23">
        <f t="shared" si="7"/>
        <v>0</v>
      </c>
      <c r="H28" s="23">
        <f t="shared" si="7"/>
        <v>0</v>
      </c>
      <c r="I28" s="23">
        <f t="shared" si="7"/>
        <v>0</v>
      </c>
      <c r="J28" s="23">
        <f t="shared" si="7"/>
        <v>0</v>
      </c>
      <c r="K28" s="23">
        <f t="shared" si="7"/>
        <v>0</v>
      </c>
      <c r="L28" s="23">
        <f t="shared" si="7"/>
        <v>0</v>
      </c>
      <c r="M28" s="23">
        <f t="shared" si="7"/>
        <v>0</v>
      </c>
      <c r="N28" s="23">
        <f t="shared" si="7"/>
        <v>0</v>
      </c>
      <c r="O28" s="23">
        <f t="shared" si="7"/>
        <v>0</v>
      </c>
      <c r="P28" s="23">
        <f t="shared" si="7"/>
        <v>0</v>
      </c>
      <c r="Q28" s="23">
        <f t="shared" si="7"/>
        <v>0</v>
      </c>
      <c r="R28" s="23">
        <f t="shared" si="7"/>
        <v>0</v>
      </c>
      <c r="S28" s="23">
        <f t="shared" si="7"/>
        <v>0</v>
      </c>
      <c r="T28" s="23">
        <f t="shared" si="7"/>
        <v>0</v>
      </c>
      <c r="U28" s="23">
        <f t="shared" si="7"/>
        <v>0</v>
      </c>
      <c r="V28" s="23">
        <f t="shared" si="7"/>
        <v>0</v>
      </c>
      <c r="W28" s="23">
        <f t="shared" si="7"/>
        <v>0</v>
      </c>
      <c r="X28" s="23">
        <f t="shared" si="7"/>
        <v>0</v>
      </c>
      <c r="Y28" s="23">
        <f t="shared" si="7"/>
        <v>0</v>
      </c>
      <c r="Z28" s="23">
        <f t="shared" si="7"/>
        <v>0</v>
      </c>
      <c r="AA28" s="23">
        <f t="shared" si="7"/>
        <v>0</v>
      </c>
      <c r="AB28" s="23">
        <f t="shared" si="7"/>
        <v>0</v>
      </c>
      <c r="AC28" s="23">
        <f t="shared" si="7"/>
        <v>0</v>
      </c>
      <c r="AD28" s="23">
        <f t="shared" si="7"/>
        <v>0</v>
      </c>
      <c r="AE28" s="23">
        <f t="shared" si="7"/>
        <v>0</v>
      </c>
      <c r="AF28" s="23">
        <f t="shared" si="7"/>
        <v>0</v>
      </c>
      <c r="AG28" s="23">
        <f t="shared" si="7"/>
        <v>0</v>
      </c>
      <c r="AH28" s="23">
        <f t="shared" si="7"/>
        <v>0</v>
      </c>
      <c r="AI28" s="23">
        <f t="shared" si="7"/>
        <v>0</v>
      </c>
      <c r="AJ28" s="35" t="e">
        <f>SUM(AJ20:AJ27)/8</f>
        <v>#REF!</v>
      </c>
      <c r="AM28" s="46" t="e">
        <f t="shared" si="0"/>
        <v>#REF!</v>
      </c>
    </row>
    <row r="29" spans="1:39" ht="22.5" customHeight="1" thickBot="1" x14ac:dyDescent="0.25">
      <c r="A29" s="100" t="s">
        <v>73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33" t="e">
        <f>AJ14+AJ18+AJ28</f>
        <v>#REF!</v>
      </c>
      <c r="AM29" s="47" t="e">
        <f t="shared" si="0"/>
        <v>#REF!</v>
      </c>
    </row>
  </sheetData>
  <mergeCells count="25">
    <mergeCell ref="A1:AJ1"/>
    <mergeCell ref="A2:AJ2"/>
    <mergeCell ref="A5:B5"/>
    <mergeCell ref="A8:A9"/>
    <mergeCell ref="B8:C9"/>
    <mergeCell ref="D8:D9"/>
    <mergeCell ref="E8:AI8"/>
    <mergeCell ref="AJ8:AJ9"/>
    <mergeCell ref="B24:C24"/>
    <mergeCell ref="B11:C11"/>
    <mergeCell ref="B12:C12"/>
    <mergeCell ref="B13:C13"/>
    <mergeCell ref="A14:C14"/>
    <mergeCell ref="B16:C16"/>
    <mergeCell ref="B17:C17"/>
    <mergeCell ref="A18:C18"/>
    <mergeCell ref="B20:C20"/>
    <mergeCell ref="B21:C21"/>
    <mergeCell ref="B22:C22"/>
    <mergeCell ref="B23:C23"/>
    <mergeCell ref="B25:C25"/>
    <mergeCell ref="B26:C26"/>
    <mergeCell ref="B27:C27"/>
    <mergeCell ref="A28:C28"/>
    <mergeCell ref="A29:AI29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E5"/>
  <sheetViews>
    <sheetView workbookViewId="0">
      <selection activeCell="F27" sqref="F27"/>
    </sheetView>
  </sheetViews>
  <sheetFormatPr defaultRowHeight="15" x14ac:dyDescent="0.25"/>
  <cols>
    <col min="1" max="1" width="2.7109375" customWidth="1"/>
    <col min="2" max="2" width="11.85546875" customWidth="1"/>
    <col min="3" max="3" width="2.42578125" customWidth="1"/>
    <col min="4" max="4" width="1.7109375" customWidth="1"/>
    <col min="5" max="5" width="32" customWidth="1"/>
  </cols>
  <sheetData>
    <row r="2" spans="2:5" ht="15.75" x14ac:dyDescent="0.25">
      <c r="B2" s="65" t="s">
        <v>0</v>
      </c>
      <c r="C2" s="65"/>
      <c r="D2" s="65" t="str">
        <f xml:space="preserve"> ": " &amp;'3'!C31</f>
        <v xml:space="preserve">: </v>
      </c>
      <c r="E2" s="64" t="s">
        <v>119</v>
      </c>
    </row>
    <row r="3" spans="2:5" ht="15.75" x14ac:dyDescent="0.25">
      <c r="B3" s="122" t="s">
        <v>14</v>
      </c>
      <c r="C3" s="122"/>
      <c r="D3" s="66" t="s">
        <v>13</v>
      </c>
      <c r="E3" s="64" t="s">
        <v>120</v>
      </c>
    </row>
    <row r="4" spans="2:5" ht="15.75" x14ac:dyDescent="0.25">
      <c r="B4" s="122" t="s">
        <v>114</v>
      </c>
      <c r="C4" s="122"/>
      <c r="D4" s="66" t="s">
        <v>115</v>
      </c>
      <c r="E4" s="64" t="s">
        <v>121</v>
      </c>
    </row>
    <row r="5" spans="2:5" ht="15.75" x14ac:dyDescent="0.25">
      <c r="B5" s="122" t="s">
        <v>79</v>
      </c>
      <c r="C5" s="122"/>
      <c r="D5" s="66" t="s">
        <v>115</v>
      </c>
      <c r="E5" s="64" t="s">
        <v>122</v>
      </c>
    </row>
  </sheetData>
  <mergeCells count="3">
    <mergeCell ref="B3:C3"/>
    <mergeCell ref="B4:C4"/>
    <mergeCell ref="B5:C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M34"/>
  <sheetViews>
    <sheetView topLeftCell="A13" zoomScale="80" zoomScaleNormal="80" workbookViewId="0">
      <selection activeCell="E12" sqref="E12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4.85546875" style="14" bestFit="1" customWidth="1"/>
    <col min="5" max="7" width="9.140625" style="13" bestFit="1" customWidth="1"/>
    <col min="8" max="11" width="5.28515625" style="13" customWidth="1"/>
    <col min="12" max="12" width="6" style="13" customWidth="1"/>
    <col min="13" max="18" width="5.28515625" style="13" customWidth="1"/>
    <col min="19" max="19" width="5" style="13" customWidth="1"/>
    <col min="20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74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93">
        <v>1</v>
      </c>
      <c r="F9" s="2">
        <v>2</v>
      </c>
      <c r="G9" s="2">
        <v>3</v>
      </c>
      <c r="H9" s="2">
        <v>4</v>
      </c>
      <c r="I9" s="2">
        <v>5</v>
      </c>
      <c r="J9" s="2">
        <v>6</v>
      </c>
      <c r="K9" s="2">
        <v>7</v>
      </c>
      <c r="L9" s="2">
        <v>8</v>
      </c>
      <c r="M9" s="2">
        <v>9</v>
      </c>
      <c r="N9" s="2">
        <v>10</v>
      </c>
      <c r="O9" s="2">
        <v>11</v>
      </c>
      <c r="P9" s="2">
        <v>12</v>
      </c>
      <c r="Q9" s="2">
        <v>13</v>
      </c>
      <c r="R9" s="2">
        <v>14</v>
      </c>
      <c r="S9" s="2">
        <v>15</v>
      </c>
      <c r="T9" s="2">
        <v>16</v>
      </c>
      <c r="U9" s="2">
        <v>17</v>
      </c>
      <c r="V9" s="2">
        <v>18</v>
      </c>
      <c r="W9" s="2">
        <v>19</v>
      </c>
      <c r="X9" s="2">
        <v>20</v>
      </c>
      <c r="Y9" s="2">
        <v>21</v>
      </c>
      <c r="Z9" s="2">
        <v>22</v>
      </c>
      <c r="AA9" s="2">
        <v>23</v>
      </c>
      <c r="AB9" s="2">
        <v>24</v>
      </c>
      <c r="AC9" s="2">
        <v>25</v>
      </c>
      <c r="AD9" s="2">
        <v>26</v>
      </c>
      <c r="AE9" s="2">
        <v>27</v>
      </c>
      <c r="AF9" s="2">
        <v>28</v>
      </c>
      <c r="AG9" s="2">
        <v>29</v>
      </c>
      <c r="AH9" s="2">
        <v>30</v>
      </c>
      <c r="AI9" s="2">
        <v>31</v>
      </c>
      <c r="AJ9" s="121"/>
      <c r="AL9" s="62" t="s">
        <v>76</v>
      </c>
      <c r="AM9" s="58">
        <v>28</v>
      </c>
    </row>
    <row r="10" spans="1:39" s="15" customFormat="1" ht="21" customHeight="1" x14ac:dyDescent="0.25">
      <c r="A10" s="29" t="s">
        <v>6</v>
      </c>
      <c r="B10" s="27"/>
      <c r="C10" s="27"/>
      <c r="D10" s="27"/>
      <c r="E10" s="90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2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88">
        <v>1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1.4285714285714284E-2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88">
        <v>1</v>
      </c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1.4285714285714284E-2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" customHeight="1" x14ac:dyDescent="0.2">
      <c r="A14" s="105" t="s">
        <v>12</v>
      </c>
      <c r="B14" s="105"/>
      <c r="C14" s="105"/>
      <c r="D14" s="23"/>
      <c r="E14" s="74">
        <f>AVERAGE(E11:E13)</f>
        <v>1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9.5238095238095229E-3</v>
      </c>
      <c r="AL14" s="49"/>
      <c r="AM14" s="60">
        <f>AM9</f>
        <v>28</v>
      </c>
    </row>
    <row r="15" spans="1:39" s="15" customFormat="1" ht="23.2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3" t="s">
        <v>132</v>
      </c>
      <c r="C16" s="104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customHeight="1" x14ac:dyDescent="0.2">
      <c r="A18" s="105" t="s">
        <v>12</v>
      </c>
      <c r="B18" s="105"/>
      <c r="C18" s="105"/>
      <c r="D18" s="23"/>
      <c r="E18" s="74" t="e">
        <f t="shared" ref="E18:AJ18" si="2">AVERAGE(E16:E17)</f>
        <v>#DIV/0!</v>
      </c>
      <c r="F18" s="74" t="e">
        <f t="shared" si="2"/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 t="shared" si="2"/>
        <v>#DIV/0!</v>
      </c>
      <c r="AH18" s="74" t="e">
        <f t="shared" si="2"/>
        <v>#DIV/0!</v>
      </c>
      <c r="AI18" s="74" t="e">
        <f t="shared" si="2"/>
        <v>#DIV/0!</v>
      </c>
      <c r="AJ18" s="77">
        <f t="shared" si="2"/>
        <v>0</v>
      </c>
      <c r="AL18" s="49"/>
      <c r="AM18" s="60">
        <f>AM9</f>
        <v>28</v>
      </c>
    </row>
    <row r="19" spans="1:39" ht="21.75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3.7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130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9.5238095238095229E-3</v>
      </c>
      <c r="AL34" s="49"/>
      <c r="AM34" s="60">
        <f>AM9</f>
        <v>28</v>
      </c>
    </row>
  </sheetData>
  <mergeCells count="28">
    <mergeCell ref="B30:C30"/>
    <mergeCell ref="B31:C31"/>
    <mergeCell ref="A33:C33"/>
    <mergeCell ref="A34:AI34"/>
    <mergeCell ref="B32:C32"/>
    <mergeCell ref="B29:C29"/>
    <mergeCell ref="B11:C11"/>
    <mergeCell ref="B12:C12"/>
    <mergeCell ref="B13:C13"/>
    <mergeCell ref="A14:C14"/>
    <mergeCell ref="B16:C16"/>
    <mergeCell ref="B17:C17"/>
    <mergeCell ref="A18:C18"/>
    <mergeCell ref="B25:C25"/>
    <mergeCell ref="B26:C26"/>
    <mergeCell ref="B27:C27"/>
    <mergeCell ref="B28:C28"/>
    <mergeCell ref="D15:AJ15"/>
    <mergeCell ref="D19:AJ19"/>
    <mergeCell ref="A1:AJ1"/>
    <mergeCell ref="A2:AJ2"/>
    <mergeCell ref="A5:B5"/>
    <mergeCell ref="A8:A9"/>
    <mergeCell ref="B8:C9"/>
    <mergeCell ref="D8:D9"/>
    <mergeCell ref="E8:AI8"/>
    <mergeCell ref="AJ8:AJ9"/>
    <mergeCell ref="A6:B6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zoomScale="80" zoomScaleNormal="80" workbookViewId="0">
      <selection activeCell="W29" sqref="W29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109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4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6.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3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4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4.75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24.7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18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0.7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topLeftCell="A5" zoomScale="80" zoomScaleNormal="80" workbookViewId="0">
      <selection activeCell="E32" sqref="E32:AH32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108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20.2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.75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21.7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27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3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topLeftCell="A25" zoomScale="80" zoomScaleNormal="80" workbookViewId="0">
      <selection activeCell="R29" sqref="R29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107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31.5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24.7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15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21.7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1.75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22.5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6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topLeftCell="A31" zoomScale="80" zoomScaleNormal="80" workbookViewId="0">
      <selection activeCell="Q47" sqref="Q47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106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6.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20.2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17.25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20.25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8.2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zoomScale="80" zoomScaleNormal="80" workbookViewId="0">
      <selection activeCell="U27" sqref="U27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105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8.7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18.7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7.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17.25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2.2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topLeftCell="A12" zoomScale="80" zoomScaleNormal="80" workbookViewId="0">
      <selection activeCell="X30" sqref="X30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104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8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55"/>
      <c r="AE11" s="55"/>
      <c r="AF11" s="55"/>
      <c r="AG11" s="55"/>
      <c r="AH11" s="55"/>
      <c r="AI11" s="55"/>
      <c r="AJ11" s="34">
        <f>SUM(E11:AI11)/AM9*40/100</f>
        <v>0</v>
      </c>
      <c r="AL11" s="49"/>
      <c r="AM11" s="60">
        <f>AM9</f>
        <v>28</v>
      </c>
    </row>
    <row r="12" spans="1:39" ht="33.7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55"/>
      <c r="AE12" s="55"/>
      <c r="AF12" s="55"/>
      <c r="AG12" s="55"/>
      <c r="AH12" s="55"/>
      <c r="AI12" s="55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55"/>
      <c r="AE13" s="55"/>
      <c r="AF13" s="55"/>
      <c r="AG13" s="55"/>
      <c r="AH13" s="55"/>
      <c r="AI13" s="55"/>
      <c r="AJ13" s="3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18.7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16.5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6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zoomScale="80" zoomScaleNormal="80" workbookViewId="0">
      <selection activeCell="E20" sqref="E20:AI32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103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19.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16.5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2.2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topLeftCell="A16" zoomScale="80" zoomScaleNormal="80" workbookViewId="0">
      <selection activeCell="V27" sqref="V27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102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6.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1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18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3.7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topLeftCell="A12" zoomScale="80" zoomScaleNormal="80" workbookViewId="0">
      <selection activeCell="AC28" sqref="AC28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101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5.7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16.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16.5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6.7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zoomScale="80" zoomScaleNormal="80" workbookViewId="0">
      <selection activeCell="Q17" sqref="Q17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123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6.5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3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3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3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3"/>
      <c r="E14" s="74" t="e">
        <f>AVERAGE(E11:E13)</f>
        <v>#DIV/0!</v>
      </c>
      <c r="F14" s="74" t="e">
        <f t="shared" ref="F14:AI14" si="1">AVERAGE(F11:F13)</f>
        <v>#DIV/0!</v>
      </c>
      <c r="G14" s="74" t="e">
        <f t="shared" si="1"/>
        <v>#DIV/0!</v>
      </c>
      <c r="H14" s="74" t="e">
        <f>AVERAGE(H11:H13)</f>
        <v>#DIV/0!</v>
      </c>
      <c r="I14" s="74" t="e">
        <f t="shared" si="1"/>
        <v>#DIV/0!</v>
      </c>
      <c r="J14" s="74" t="e">
        <f t="shared" si="1"/>
        <v>#DIV/0!</v>
      </c>
      <c r="K14" s="74" t="e">
        <f t="shared" si="1"/>
        <v>#DIV/0!</v>
      </c>
      <c r="L14" s="74" t="e">
        <f t="shared" si="1"/>
        <v>#DIV/0!</v>
      </c>
      <c r="M14" s="74" t="e">
        <f t="shared" si="1"/>
        <v>#DIV/0!</v>
      </c>
      <c r="N14" s="74" t="e">
        <f t="shared" si="1"/>
        <v>#DIV/0!</v>
      </c>
      <c r="O14" s="74" t="e">
        <f t="shared" si="1"/>
        <v>#DIV/0!</v>
      </c>
      <c r="P14" s="74" t="e">
        <f t="shared" si="1"/>
        <v>#DIV/0!</v>
      </c>
      <c r="Q14" s="74" t="e">
        <f t="shared" si="1"/>
        <v>#DIV/0!</v>
      </c>
      <c r="R14" s="74" t="e">
        <f t="shared" si="1"/>
        <v>#DIV/0!</v>
      </c>
      <c r="S14" s="74" t="e">
        <f t="shared" si="1"/>
        <v>#DIV/0!</v>
      </c>
      <c r="T14" s="74" t="e">
        <f t="shared" si="1"/>
        <v>#DIV/0!</v>
      </c>
      <c r="U14" s="74" t="e">
        <f t="shared" si="1"/>
        <v>#DIV/0!</v>
      </c>
      <c r="V14" s="74" t="e">
        <f t="shared" si="1"/>
        <v>#DIV/0!</v>
      </c>
      <c r="W14" s="74" t="e">
        <f t="shared" si="1"/>
        <v>#DIV/0!</v>
      </c>
      <c r="X14" s="74" t="e">
        <f t="shared" si="1"/>
        <v>#DIV/0!</v>
      </c>
      <c r="Y14" s="74" t="e">
        <f t="shared" si="1"/>
        <v>#DIV/0!</v>
      </c>
      <c r="Z14" s="74" t="e">
        <f t="shared" si="1"/>
        <v>#DIV/0!</v>
      </c>
      <c r="AA14" s="74" t="e">
        <f t="shared" si="1"/>
        <v>#DIV/0!</v>
      </c>
      <c r="AB14" s="74" t="e">
        <f t="shared" si="1"/>
        <v>#DIV/0!</v>
      </c>
      <c r="AC14" s="74" t="e">
        <f t="shared" si="1"/>
        <v>#DIV/0!</v>
      </c>
      <c r="AD14" s="74" t="e">
        <f t="shared" si="1"/>
        <v>#DIV/0!</v>
      </c>
      <c r="AE14" s="74" t="e">
        <f t="shared" si="1"/>
        <v>#DIV/0!</v>
      </c>
      <c r="AF14" s="74" t="e">
        <f t="shared" si="1"/>
        <v>#DIV/0!</v>
      </c>
      <c r="AG14" s="74" t="e">
        <f t="shared" si="1"/>
        <v>#DIV/0!</v>
      </c>
      <c r="AH14" s="74" t="e">
        <f>AVERAGE(AH11:AH13)</f>
        <v>#DIV/0!</v>
      </c>
      <c r="AI14" s="74" t="e">
        <f t="shared" si="1"/>
        <v>#DIV/0!</v>
      </c>
      <c r="AJ14" s="77">
        <f>AVERAGE(AJ11:AJ13)</f>
        <v>0</v>
      </c>
      <c r="AL14" s="49"/>
      <c r="AM14" s="60">
        <f>AM9</f>
        <v>28</v>
      </c>
    </row>
    <row r="15" spans="1:39" s="15" customFormat="1" ht="18.75" customHeight="1" x14ac:dyDescent="0.25">
      <c r="A15" s="57" t="s">
        <v>58</v>
      </c>
      <c r="B15" s="25"/>
      <c r="C15" s="25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5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18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1.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4"/>
  <sheetViews>
    <sheetView topLeftCell="A19" zoomScale="80" zoomScaleNormal="80" workbookViewId="0">
      <selection activeCell="D19" sqref="D19:AJ19"/>
    </sheetView>
  </sheetViews>
  <sheetFormatPr defaultRowHeight="15" x14ac:dyDescent="0.2"/>
  <cols>
    <col min="1" max="1" width="4.85546875" style="13" customWidth="1"/>
    <col min="2" max="2" width="9.140625" style="13"/>
    <col min="3" max="3" width="40.85546875" style="13" customWidth="1"/>
    <col min="4" max="4" width="10.5703125" style="14" customWidth="1"/>
    <col min="5" max="35" width="5.28515625" style="13" customWidth="1"/>
    <col min="36" max="36" width="10.7109375" style="13" customWidth="1"/>
    <col min="37" max="37" width="9.140625" style="13"/>
    <col min="38" max="38" width="24.28515625" style="13" bestFit="1" customWidth="1"/>
    <col min="39" max="41" width="9.140625" style="13"/>
    <col min="42" max="42" width="9.140625" style="13" customWidth="1"/>
    <col min="43" max="16384" width="9.140625" style="13"/>
  </cols>
  <sheetData>
    <row r="1" spans="1:39" ht="15.75" customHeight="1" x14ac:dyDescent="0.25">
      <c r="A1" s="113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</row>
    <row r="2" spans="1:39" ht="15.75" customHeight="1" x14ac:dyDescent="0.2">
      <c r="A2" s="114" t="s">
        <v>118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</row>
    <row r="3" spans="1:39" ht="15.75" x14ac:dyDescent="0.2">
      <c r="A3" s="21"/>
      <c r="B3" s="21"/>
      <c r="C3" s="21"/>
      <c r="D3" s="21"/>
    </row>
    <row r="4" spans="1:39" x14ac:dyDescent="0.2">
      <c r="A4" s="1" t="s">
        <v>0</v>
      </c>
      <c r="B4" s="1"/>
      <c r="C4" s="1" t="str">
        <f xml:space="preserve"> ": " &amp;'Data Perawat'!E2</f>
        <v>: Tulis nama di sini</v>
      </c>
      <c r="D4" s="18"/>
    </row>
    <row r="5" spans="1:39" x14ac:dyDescent="0.2">
      <c r="A5" s="115" t="s">
        <v>14</v>
      </c>
      <c r="B5" s="115"/>
      <c r="C5" s="1" t="str">
        <f xml:space="preserve"> ": " &amp;'Data Perawat'!E3</f>
        <v>: Tulis PK di sini</v>
      </c>
    </row>
    <row r="6" spans="1:39" x14ac:dyDescent="0.2">
      <c r="A6" s="115" t="s">
        <v>114</v>
      </c>
      <c r="B6" s="115"/>
      <c r="C6" s="1" t="str">
        <f xml:space="preserve"> ": " &amp;'Data Perawat'!E4</f>
        <v>: Tulis Unit di sini</v>
      </c>
    </row>
    <row r="7" spans="1:39" ht="15.75" thickBot="1" x14ac:dyDescent="0.25">
      <c r="A7" s="20"/>
      <c r="B7" s="20"/>
    </row>
    <row r="8" spans="1:39" ht="21.75" customHeight="1" thickBot="1" x14ac:dyDescent="0.3">
      <c r="A8" s="116" t="s">
        <v>7</v>
      </c>
      <c r="B8" s="116" t="s">
        <v>8</v>
      </c>
      <c r="C8" s="116"/>
      <c r="D8" s="118" t="s">
        <v>60</v>
      </c>
      <c r="E8" s="120" t="s">
        <v>100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1" t="s">
        <v>61</v>
      </c>
      <c r="AL8" s="61" t="s">
        <v>75</v>
      </c>
      <c r="AM8" s="41"/>
    </row>
    <row r="9" spans="1:39" ht="21.6" customHeight="1" thickBot="1" x14ac:dyDescent="0.4">
      <c r="A9" s="117"/>
      <c r="B9" s="117"/>
      <c r="C9" s="117"/>
      <c r="D9" s="119"/>
      <c r="E9" s="75">
        <v>1</v>
      </c>
      <c r="F9" s="75">
        <v>2</v>
      </c>
      <c r="G9" s="75">
        <v>3</v>
      </c>
      <c r="H9" s="75">
        <v>4</v>
      </c>
      <c r="I9" s="75">
        <v>5</v>
      </c>
      <c r="J9" s="75">
        <v>6</v>
      </c>
      <c r="K9" s="75">
        <v>7</v>
      </c>
      <c r="L9" s="75">
        <v>8</v>
      </c>
      <c r="M9" s="75">
        <v>9</v>
      </c>
      <c r="N9" s="75">
        <v>10</v>
      </c>
      <c r="O9" s="75">
        <v>11</v>
      </c>
      <c r="P9" s="75">
        <v>12</v>
      </c>
      <c r="Q9" s="75">
        <v>13</v>
      </c>
      <c r="R9" s="75">
        <v>14</v>
      </c>
      <c r="S9" s="75">
        <v>15</v>
      </c>
      <c r="T9" s="75">
        <v>16</v>
      </c>
      <c r="U9" s="75">
        <v>17</v>
      </c>
      <c r="V9" s="75">
        <v>18</v>
      </c>
      <c r="W9" s="75">
        <v>19</v>
      </c>
      <c r="X9" s="75">
        <v>20</v>
      </c>
      <c r="Y9" s="75">
        <v>21</v>
      </c>
      <c r="Z9" s="75">
        <v>22</v>
      </c>
      <c r="AA9" s="75">
        <v>23</v>
      </c>
      <c r="AB9" s="75">
        <v>24</v>
      </c>
      <c r="AC9" s="75">
        <v>25</v>
      </c>
      <c r="AD9" s="75">
        <v>26</v>
      </c>
      <c r="AE9" s="75">
        <v>27</v>
      </c>
      <c r="AF9" s="75">
        <v>28</v>
      </c>
      <c r="AG9" s="75">
        <v>29</v>
      </c>
      <c r="AH9" s="75">
        <v>30</v>
      </c>
      <c r="AI9" s="75">
        <v>31</v>
      </c>
      <c r="AJ9" s="121"/>
      <c r="AL9" s="62" t="s">
        <v>76</v>
      </c>
      <c r="AM9" s="58">
        <v>28</v>
      </c>
    </row>
    <row r="10" spans="1:39" s="15" customFormat="1" ht="18" customHeight="1" x14ac:dyDescent="0.25">
      <c r="A10" s="29" t="s">
        <v>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/>
      <c r="AJ10" s="25"/>
      <c r="AL10" s="63"/>
      <c r="AM10" s="59">
        <f>AM9</f>
        <v>28</v>
      </c>
    </row>
    <row r="11" spans="1:39" ht="26.25" customHeight="1" x14ac:dyDescent="0.2">
      <c r="A11" s="2">
        <v>1</v>
      </c>
      <c r="B11" s="102" t="s">
        <v>3</v>
      </c>
      <c r="C11" s="102"/>
      <c r="D11" s="56">
        <v>100</v>
      </c>
      <c r="E11" s="56"/>
      <c r="F11" s="88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94">
        <f>SUM(E11:AI11)/AM9*40/100</f>
        <v>0</v>
      </c>
      <c r="AL11" s="49"/>
      <c r="AM11" s="60">
        <f>AM9</f>
        <v>28</v>
      </c>
    </row>
    <row r="12" spans="1:39" ht="34.5" customHeight="1" x14ac:dyDescent="0.2">
      <c r="A12" s="2">
        <v>2</v>
      </c>
      <c r="B12" s="102" t="s">
        <v>124</v>
      </c>
      <c r="C12" s="102"/>
      <c r="D12" s="56">
        <v>100</v>
      </c>
      <c r="E12" s="56"/>
      <c r="F12" s="88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94">
        <f t="shared" ref="AJ12:AJ13" si="0">SUM(E12:AI12)/AM10*40/100</f>
        <v>0</v>
      </c>
      <c r="AL12" s="49"/>
      <c r="AM12" s="60">
        <f>AM9</f>
        <v>28</v>
      </c>
    </row>
    <row r="13" spans="1:39" ht="25.5" customHeight="1" x14ac:dyDescent="0.2">
      <c r="A13" s="2">
        <v>3</v>
      </c>
      <c r="B13" s="102" t="s">
        <v>5</v>
      </c>
      <c r="C13" s="102"/>
      <c r="D13" s="56">
        <v>100</v>
      </c>
      <c r="E13" s="56"/>
      <c r="F13" s="88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94">
        <f t="shared" si="0"/>
        <v>0</v>
      </c>
      <c r="AL13" s="49"/>
      <c r="AM13" s="60">
        <f>AM9</f>
        <v>28</v>
      </c>
    </row>
    <row r="14" spans="1:39" ht="21" hidden="1" customHeight="1" x14ac:dyDescent="0.2">
      <c r="A14" s="105" t="s">
        <v>12</v>
      </c>
      <c r="B14" s="105"/>
      <c r="C14" s="105"/>
      <c r="D14" s="2"/>
      <c r="E14" s="95" t="e">
        <f>AVERAGE(E11:E13)</f>
        <v>#DIV/0!</v>
      </c>
      <c r="F14" s="95" t="e">
        <f t="shared" ref="F14:AI14" si="1">AVERAGE(F11:F13)</f>
        <v>#DIV/0!</v>
      </c>
      <c r="G14" s="95" t="e">
        <f t="shared" si="1"/>
        <v>#DIV/0!</v>
      </c>
      <c r="H14" s="95" t="e">
        <f>AVERAGE(H11:H13)</f>
        <v>#DIV/0!</v>
      </c>
      <c r="I14" s="95" t="e">
        <f t="shared" si="1"/>
        <v>#DIV/0!</v>
      </c>
      <c r="J14" s="95" t="e">
        <f t="shared" si="1"/>
        <v>#DIV/0!</v>
      </c>
      <c r="K14" s="95" t="e">
        <f t="shared" si="1"/>
        <v>#DIV/0!</v>
      </c>
      <c r="L14" s="95" t="e">
        <f t="shared" si="1"/>
        <v>#DIV/0!</v>
      </c>
      <c r="M14" s="95" t="e">
        <f t="shared" si="1"/>
        <v>#DIV/0!</v>
      </c>
      <c r="N14" s="95" t="e">
        <f t="shared" si="1"/>
        <v>#DIV/0!</v>
      </c>
      <c r="O14" s="95" t="e">
        <f t="shared" si="1"/>
        <v>#DIV/0!</v>
      </c>
      <c r="P14" s="95" t="e">
        <f t="shared" si="1"/>
        <v>#DIV/0!</v>
      </c>
      <c r="Q14" s="95" t="e">
        <f t="shared" si="1"/>
        <v>#DIV/0!</v>
      </c>
      <c r="R14" s="95" t="e">
        <f t="shared" si="1"/>
        <v>#DIV/0!</v>
      </c>
      <c r="S14" s="95" t="e">
        <f t="shared" si="1"/>
        <v>#DIV/0!</v>
      </c>
      <c r="T14" s="95" t="e">
        <f t="shared" si="1"/>
        <v>#DIV/0!</v>
      </c>
      <c r="U14" s="95" t="e">
        <f t="shared" si="1"/>
        <v>#DIV/0!</v>
      </c>
      <c r="V14" s="95" t="e">
        <f t="shared" si="1"/>
        <v>#DIV/0!</v>
      </c>
      <c r="W14" s="95" t="e">
        <f t="shared" si="1"/>
        <v>#DIV/0!</v>
      </c>
      <c r="X14" s="95" t="e">
        <f t="shared" si="1"/>
        <v>#DIV/0!</v>
      </c>
      <c r="Y14" s="95" t="e">
        <f t="shared" si="1"/>
        <v>#DIV/0!</v>
      </c>
      <c r="Z14" s="95" t="e">
        <f t="shared" si="1"/>
        <v>#DIV/0!</v>
      </c>
      <c r="AA14" s="95" t="e">
        <f t="shared" si="1"/>
        <v>#DIV/0!</v>
      </c>
      <c r="AB14" s="95" t="e">
        <f t="shared" si="1"/>
        <v>#DIV/0!</v>
      </c>
      <c r="AC14" s="95" t="e">
        <f t="shared" si="1"/>
        <v>#DIV/0!</v>
      </c>
      <c r="AD14" s="95" t="e">
        <f t="shared" si="1"/>
        <v>#DIV/0!</v>
      </c>
      <c r="AE14" s="95" t="e">
        <f t="shared" si="1"/>
        <v>#DIV/0!</v>
      </c>
      <c r="AF14" s="95" t="e">
        <f t="shared" si="1"/>
        <v>#DIV/0!</v>
      </c>
      <c r="AG14" s="95" t="e">
        <f t="shared" si="1"/>
        <v>#DIV/0!</v>
      </c>
      <c r="AH14" s="95" t="e">
        <f>AVERAGE(AH11:AH13)</f>
        <v>#DIV/0!</v>
      </c>
      <c r="AI14" s="95" t="e">
        <f t="shared" si="1"/>
        <v>#DIV/0!</v>
      </c>
      <c r="AJ14" s="96">
        <f>AVERAGE(AJ11:AJ13)</f>
        <v>0</v>
      </c>
      <c r="AL14" s="49"/>
      <c r="AM14" s="60">
        <f>AM9</f>
        <v>28</v>
      </c>
    </row>
    <row r="15" spans="1:39" s="15" customFormat="1" ht="16.5" customHeight="1" x14ac:dyDescent="0.25">
      <c r="A15" s="57" t="s">
        <v>58</v>
      </c>
      <c r="B15" s="25"/>
      <c r="C15" s="25"/>
      <c r="D15" s="130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2"/>
      <c r="AL15" s="63"/>
      <c r="AM15" s="60"/>
    </row>
    <row r="16" spans="1:39" ht="33" customHeight="1" x14ac:dyDescent="0.2">
      <c r="A16" s="2">
        <v>4</v>
      </c>
      <c r="B16" s="102" t="s">
        <v>99</v>
      </c>
      <c r="C16" s="102"/>
      <c r="D16" s="56">
        <v>100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34">
        <f>SUM(E16:AI16)/AM16*10/100</f>
        <v>0</v>
      </c>
      <c r="AL16" s="49"/>
      <c r="AM16" s="60">
        <f>AM9</f>
        <v>28</v>
      </c>
    </row>
    <row r="17" spans="1:39" ht="33.75" customHeight="1" x14ac:dyDescent="0.2">
      <c r="A17" s="2">
        <v>5</v>
      </c>
      <c r="B17" s="102" t="s">
        <v>15</v>
      </c>
      <c r="C17" s="102"/>
      <c r="D17" s="56">
        <v>100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34">
        <f>SUM(E17:AI17)/AM17*10/100</f>
        <v>0</v>
      </c>
      <c r="AL17" s="49"/>
      <c r="AM17" s="60">
        <f>AM9</f>
        <v>28</v>
      </c>
    </row>
    <row r="18" spans="1:39" ht="24" hidden="1" customHeight="1" x14ac:dyDescent="0.2">
      <c r="A18" s="105" t="s">
        <v>12</v>
      </c>
      <c r="B18" s="105"/>
      <c r="C18" s="105"/>
      <c r="D18" s="23"/>
      <c r="E18" s="74" t="e">
        <f>AVERAGE(E16:E17)</f>
        <v>#DIV/0!</v>
      </c>
      <c r="F18" s="74" t="e">
        <f t="shared" ref="F18:AI18" si="2">AVERAGE(F16:F17)</f>
        <v>#DIV/0!</v>
      </c>
      <c r="G18" s="74" t="e">
        <f t="shared" si="2"/>
        <v>#DIV/0!</v>
      </c>
      <c r="H18" s="74" t="e">
        <f t="shared" si="2"/>
        <v>#DIV/0!</v>
      </c>
      <c r="I18" s="74" t="e">
        <f t="shared" si="2"/>
        <v>#DIV/0!</v>
      </c>
      <c r="J18" s="74" t="e">
        <f t="shared" si="2"/>
        <v>#DIV/0!</v>
      </c>
      <c r="K18" s="74" t="e">
        <f t="shared" si="2"/>
        <v>#DIV/0!</v>
      </c>
      <c r="L18" s="74" t="e">
        <f t="shared" si="2"/>
        <v>#DIV/0!</v>
      </c>
      <c r="M18" s="74" t="e">
        <f t="shared" si="2"/>
        <v>#DIV/0!</v>
      </c>
      <c r="N18" s="74" t="e">
        <f t="shared" si="2"/>
        <v>#DIV/0!</v>
      </c>
      <c r="O18" s="74" t="e">
        <f t="shared" si="2"/>
        <v>#DIV/0!</v>
      </c>
      <c r="P18" s="74" t="e">
        <f t="shared" si="2"/>
        <v>#DIV/0!</v>
      </c>
      <c r="Q18" s="74" t="e">
        <f t="shared" si="2"/>
        <v>#DIV/0!</v>
      </c>
      <c r="R18" s="74" t="e">
        <f t="shared" si="2"/>
        <v>#DIV/0!</v>
      </c>
      <c r="S18" s="74" t="e">
        <f t="shared" si="2"/>
        <v>#DIV/0!</v>
      </c>
      <c r="T18" s="74" t="e">
        <f t="shared" si="2"/>
        <v>#DIV/0!</v>
      </c>
      <c r="U18" s="74" t="e">
        <f t="shared" si="2"/>
        <v>#DIV/0!</v>
      </c>
      <c r="V18" s="74" t="e">
        <f t="shared" si="2"/>
        <v>#DIV/0!</v>
      </c>
      <c r="W18" s="74" t="e">
        <f t="shared" si="2"/>
        <v>#DIV/0!</v>
      </c>
      <c r="X18" s="74" t="e">
        <f t="shared" si="2"/>
        <v>#DIV/0!</v>
      </c>
      <c r="Y18" s="74" t="e">
        <f t="shared" si="2"/>
        <v>#DIV/0!</v>
      </c>
      <c r="Z18" s="74" t="e">
        <f t="shared" si="2"/>
        <v>#DIV/0!</v>
      </c>
      <c r="AA18" s="74" t="e">
        <f t="shared" si="2"/>
        <v>#DIV/0!</v>
      </c>
      <c r="AB18" s="74" t="e">
        <f t="shared" si="2"/>
        <v>#DIV/0!</v>
      </c>
      <c r="AC18" s="74" t="e">
        <f t="shared" si="2"/>
        <v>#DIV/0!</v>
      </c>
      <c r="AD18" s="74" t="e">
        <f t="shared" si="2"/>
        <v>#DIV/0!</v>
      </c>
      <c r="AE18" s="74" t="e">
        <f t="shared" si="2"/>
        <v>#DIV/0!</v>
      </c>
      <c r="AF18" s="74" t="e">
        <f t="shared" si="2"/>
        <v>#DIV/0!</v>
      </c>
      <c r="AG18" s="74" t="e">
        <f>AVERAGE(AG16:AG17)</f>
        <v>#DIV/0!</v>
      </c>
      <c r="AH18" s="74" t="e">
        <f t="shared" si="2"/>
        <v>#DIV/0!</v>
      </c>
      <c r="AI18" s="74" t="e">
        <f t="shared" si="2"/>
        <v>#DIV/0!</v>
      </c>
      <c r="AJ18" s="77">
        <f>AVERAGE(AJ16:AJ17)</f>
        <v>0</v>
      </c>
      <c r="AL18" s="49"/>
      <c r="AM18" s="60">
        <f>AM9</f>
        <v>28</v>
      </c>
    </row>
    <row r="19" spans="1:39" ht="21" customHeight="1" x14ac:dyDescent="0.2">
      <c r="A19" s="57" t="s">
        <v>59</v>
      </c>
      <c r="B19" s="25"/>
      <c r="C19" s="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8"/>
      <c r="AL19" s="49"/>
      <c r="AM19" s="60"/>
    </row>
    <row r="20" spans="1:39" ht="21.75" customHeight="1" x14ac:dyDescent="0.2">
      <c r="A20" s="69">
        <v>6</v>
      </c>
      <c r="B20" s="63" t="s">
        <v>125</v>
      </c>
      <c r="C20" s="25"/>
      <c r="D20" s="56">
        <v>100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34">
        <f t="shared" ref="AJ20:AJ25" si="3">SUM(E20:AI20)/AM20*50/100</f>
        <v>0</v>
      </c>
      <c r="AL20" s="49"/>
      <c r="AM20" s="60">
        <f>AM9</f>
        <v>28</v>
      </c>
    </row>
    <row r="21" spans="1:39" ht="21.75" customHeight="1" x14ac:dyDescent="0.2">
      <c r="A21" s="69">
        <v>7</v>
      </c>
      <c r="B21" s="63" t="s">
        <v>126</v>
      </c>
      <c r="C21" s="25"/>
      <c r="D21" s="56">
        <v>100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34">
        <f t="shared" si="3"/>
        <v>0</v>
      </c>
      <c r="AL21" s="49"/>
      <c r="AM21" s="60">
        <f>AM9</f>
        <v>28</v>
      </c>
    </row>
    <row r="22" spans="1:39" ht="21.75" customHeight="1" x14ac:dyDescent="0.2">
      <c r="A22" s="69">
        <v>8</v>
      </c>
      <c r="B22" s="63" t="s">
        <v>127</v>
      </c>
      <c r="C22" s="25"/>
      <c r="D22" s="56">
        <v>100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34">
        <f t="shared" si="3"/>
        <v>0</v>
      </c>
      <c r="AL22" s="49"/>
      <c r="AM22" s="60">
        <f>AM9</f>
        <v>28</v>
      </c>
    </row>
    <row r="23" spans="1:39" ht="21.75" customHeight="1" x14ac:dyDescent="0.2">
      <c r="A23" s="69">
        <v>9</v>
      </c>
      <c r="B23" s="63" t="s">
        <v>128</v>
      </c>
      <c r="C23" s="25"/>
      <c r="D23" s="56">
        <v>100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34">
        <f t="shared" si="3"/>
        <v>0</v>
      </c>
      <c r="AL23" s="49"/>
      <c r="AM23" s="60">
        <f>AM9</f>
        <v>28</v>
      </c>
    </row>
    <row r="24" spans="1:39" ht="21.75" customHeight="1" x14ac:dyDescent="0.2">
      <c r="A24" s="69">
        <v>10</v>
      </c>
      <c r="B24" s="63" t="s">
        <v>129</v>
      </c>
      <c r="C24" s="25"/>
      <c r="D24" s="56">
        <v>100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34">
        <f t="shared" si="3"/>
        <v>0</v>
      </c>
      <c r="AL24" s="49"/>
      <c r="AM24" s="60">
        <f>AM9</f>
        <v>28</v>
      </c>
    </row>
    <row r="25" spans="1:39" ht="21.75" customHeight="1" x14ac:dyDescent="0.2">
      <c r="A25" s="69">
        <v>11</v>
      </c>
      <c r="B25" s="129" t="s">
        <v>16</v>
      </c>
      <c r="C25" s="129"/>
      <c r="D25" s="56">
        <v>100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34">
        <f t="shared" si="3"/>
        <v>0</v>
      </c>
      <c r="AL25" s="49"/>
      <c r="AM25" s="60">
        <f>AM9</f>
        <v>28</v>
      </c>
    </row>
    <row r="26" spans="1:39" ht="21.75" customHeight="1" x14ac:dyDescent="0.2">
      <c r="A26" s="69">
        <v>12</v>
      </c>
      <c r="B26" s="111" t="s">
        <v>17</v>
      </c>
      <c r="C26" s="111"/>
      <c r="D26" s="56">
        <v>100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34">
        <f>SUM(E26:AI26)/AM26*50/100</f>
        <v>0</v>
      </c>
      <c r="AL26" s="49"/>
      <c r="AM26" s="60">
        <f>AM9</f>
        <v>28</v>
      </c>
    </row>
    <row r="27" spans="1:39" ht="21.75" customHeight="1" x14ac:dyDescent="0.2">
      <c r="A27" s="69">
        <v>13</v>
      </c>
      <c r="B27" s="112" t="s">
        <v>18</v>
      </c>
      <c r="C27" s="112"/>
      <c r="D27" s="56">
        <v>100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34">
        <f t="shared" ref="AJ27:AJ32" si="4">SUM(E27:AI27)/AM27*50/100</f>
        <v>0</v>
      </c>
      <c r="AL27" s="49"/>
      <c r="AM27" s="60">
        <f>AM9</f>
        <v>28</v>
      </c>
    </row>
    <row r="28" spans="1:39" ht="30.75" customHeight="1" x14ac:dyDescent="0.2">
      <c r="A28" s="69">
        <v>14</v>
      </c>
      <c r="B28" s="112" t="s">
        <v>19</v>
      </c>
      <c r="C28" s="112"/>
      <c r="D28" s="56">
        <v>100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34">
        <f t="shared" si="4"/>
        <v>0</v>
      </c>
      <c r="AL28" s="49"/>
      <c r="AM28" s="60">
        <f>AM9</f>
        <v>28</v>
      </c>
    </row>
    <row r="29" spans="1:39" ht="34.5" customHeight="1" x14ac:dyDescent="0.2">
      <c r="A29" s="69">
        <v>15</v>
      </c>
      <c r="B29" s="112" t="s">
        <v>20</v>
      </c>
      <c r="C29" s="112"/>
      <c r="D29" s="56">
        <v>100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34">
        <f t="shared" si="4"/>
        <v>0</v>
      </c>
      <c r="AL29" s="49"/>
      <c r="AM29" s="60">
        <f>AM9</f>
        <v>28</v>
      </c>
    </row>
    <row r="30" spans="1:39" ht="34.5" customHeight="1" x14ac:dyDescent="0.2">
      <c r="A30" s="69">
        <v>16</v>
      </c>
      <c r="B30" s="112" t="s">
        <v>21</v>
      </c>
      <c r="C30" s="112"/>
      <c r="D30" s="56">
        <v>100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34">
        <f t="shared" si="4"/>
        <v>0</v>
      </c>
      <c r="AL30" s="49"/>
      <c r="AM30" s="60">
        <f>AM9</f>
        <v>28</v>
      </c>
    </row>
    <row r="31" spans="1:39" ht="34.5" customHeight="1" x14ac:dyDescent="0.2">
      <c r="A31" s="69">
        <v>17</v>
      </c>
      <c r="B31" s="112" t="s">
        <v>22</v>
      </c>
      <c r="C31" s="112"/>
      <c r="D31" s="56">
        <v>100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34">
        <f t="shared" si="4"/>
        <v>0</v>
      </c>
      <c r="AL31" s="49"/>
      <c r="AM31" s="60">
        <f>AM9</f>
        <v>28</v>
      </c>
    </row>
    <row r="32" spans="1:39" ht="34.5" customHeight="1" x14ac:dyDescent="0.2">
      <c r="A32" s="69">
        <v>18</v>
      </c>
      <c r="B32" s="112" t="s">
        <v>116</v>
      </c>
      <c r="C32" s="112"/>
      <c r="D32" s="56">
        <v>100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34">
        <f t="shared" si="4"/>
        <v>0</v>
      </c>
      <c r="AL32" s="49"/>
      <c r="AM32" s="60">
        <f>AM9</f>
        <v>28</v>
      </c>
    </row>
    <row r="33" spans="1:39" ht="22.5" customHeight="1" x14ac:dyDescent="0.2">
      <c r="A33" s="99" t="s">
        <v>12</v>
      </c>
      <c r="B33" s="99"/>
      <c r="C33" s="99"/>
      <c r="D33" s="32"/>
      <c r="E33" s="32" t="e">
        <f>AVERAGE(E20:E32)</f>
        <v>#DIV/0!</v>
      </c>
      <c r="F33" s="32" t="e">
        <f t="shared" ref="F33:AI33" si="5">AVERAGE(F20:F32)</f>
        <v>#DIV/0!</v>
      </c>
      <c r="G33" s="32" t="e">
        <f t="shared" si="5"/>
        <v>#DIV/0!</v>
      </c>
      <c r="H33" s="32" t="e">
        <f t="shared" si="5"/>
        <v>#DIV/0!</v>
      </c>
      <c r="I33" s="32" t="e">
        <f t="shared" si="5"/>
        <v>#DIV/0!</v>
      </c>
      <c r="J33" s="32" t="e">
        <f t="shared" si="5"/>
        <v>#DIV/0!</v>
      </c>
      <c r="K33" s="32" t="e">
        <f t="shared" si="5"/>
        <v>#DIV/0!</v>
      </c>
      <c r="L33" s="32" t="e">
        <f t="shared" si="5"/>
        <v>#DIV/0!</v>
      </c>
      <c r="M33" s="32" t="e">
        <f t="shared" si="5"/>
        <v>#DIV/0!</v>
      </c>
      <c r="N33" s="32" t="e">
        <f t="shared" si="5"/>
        <v>#DIV/0!</v>
      </c>
      <c r="O33" s="32" t="e">
        <f t="shared" si="5"/>
        <v>#DIV/0!</v>
      </c>
      <c r="P33" s="32" t="e">
        <f t="shared" si="5"/>
        <v>#DIV/0!</v>
      </c>
      <c r="Q33" s="32" t="e">
        <f t="shared" si="5"/>
        <v>#DIV/0!</v>
      </c>
      <c r="R33" s="32" t="e">
        <f t="shared" si="5"/>
        <v>#DIV/0!</v>
      </c>
      <c r="S33" s="32" t="e">
        <f t="shared" si="5"/>
        <v>#DIV/0!</v>
      </c>
      <c r="T33" s="32" t="e">
        <f t="shared" si="5"/>
        <v>#DIV/0!</v>
      </c>
      <c r="U33" s="32" t="e">
        <f t="shared" si="5"/>
        <v>#DIV/0!</v>
      </c>
      <c r="V33" s="32" t="e">
        <f t="shared" si="5"/>
        <v>#DIV/0!</v>
      </c>
      <c r="W33" s="32" t="e">
        <f t="shared" si="5"/>
        <v>#DIV/0!</v>
      </c>
      <c r="X33" s="32" t="e">
        <f t="shared" si="5"/>
        <v>#DIV/0!</v>
      </c>
      <c r="Y33" s="32" t="e">
        <f t="shared" si="5"/>
        <v>#DIV/0!</v>
      </c>
      <c r="Z33" s="32" t="e">
        <f t="shared" si="5"/>
        <v>#DIV/0!</v>
      </c>
      <c r="AA33" s="32" t="e">
        <f t="shared" si="5"/>
        <v>#DIV/0!</v>
      </c>
      <c r="AB33" s="32" t="e">
        <f t="shared" si="5"/>
        <v>#DIV/0!</v>
      </c>
      <c r="AC33" s="32" t="e">
        <f t="shared" si="5"/>
        <v>#DIV/0!</v>
      </c>
      <c r="AD33" s="32" t="e">
        <f t="shared" si="5"/>
        <v>#DIV/0!</v>
      </c>
      <c r="AE33" s="32" t="e">
        <f t="shared" si="5"/>
        <v>#DIV/0!</v>
      </c>
      <c r="AF33" s="32" t="e">
        <f t="shared" si="5"/>
        <v>#DIV/0!</v>
      </c>
      <c r="AG33" s="32" t="e">
        <f>AVERAGE(AG20:AG32)</f>
        <v>#DIV/0!</v>
      </c>
      <c r="AH33" s="32" t="e">
        <f t="shared" si="5"/>
        <v>#DIV/0!</v>
      </c>
      <c r="AI33" s="32" t="e">
        <f t="shared" si="5"/>
        <v>#DIV/0!</v>
      </c>
      <c r="AJ33" s="76">
        <f>AVERAGE(AJ20:AJ32)</f>
        <v>0</v>
      </c>
      <c r="AL33" s="49"/>
      <c r="AM33" s="60">
        <f>AM9</f>
        <v>28</v>
      </c>
    </row>
    <row r="34" spans="1:39" ht="22.5" customHeight="1" x14ac:dyDescent="0.2">
      <c r="A34" s="100" t="s">
        <v>73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33">
        <f>AJ14+AJ18+AJ33</f>
        <v>0</v>
      </c>
      <c r="AL34" s="49"/>
      <c r="AM34" s="60">
        <f>AM9</f>
        <v>28</v>
      </c>
    </row>
  </sheetData>
  <mergeCells count="28">
    <mergeCell ref="D15:AJ15"/>
    <mergeCell ref="B16:C16"/>
    <mergeCell ref="A1:AJ1"/>
    <mergeCell ref="A2:AJ2"/>
    <mergeCell ref="A5:B5"/>
    <mergeCell ref="A6:B6"/>
    <mergeCell ref="A8:A9"/>
    <mergeCell ref="B8:C9"/>
    <mergeCell ref="D8:D9"/>
    <mergeCell ref="E8:AI8"/>
    <mergeCell ref="AJ8:AJ9"/>
    <mergeCell ref="B11:C11"/>
    <mergeCell ref="B12:C12"/>
    <mergeCell ref="B13:C13"/>
    <mergeCell ref="A14:C14"/>
    <mergeCell ref="B17:C17"/>
    <mergeCell ref="D19:AJ19"/>
    <mergeCell ref="B25:C25"/>
    <mergeCell ref="B26:C26"/>
    <mergeCell ref="A34:AI34"/>
    <mergeCell ref="B28:C28"/>
    <mergeCell ref="B29:C29"/>
    <mergeCell ref="B30:C30"/>
    <mergeCell ref="B31:C31"/>
    <mergeCell ref="B32:C32"/>
    <mergeCell ref="A33:C33"/>
    <mergeCell ref="B27:C27"/>
    <mergeCell ref="A18:C18"/>
  </mergeCells>
  <pageMargins left="0.54" right="0.35" top="0.52" bottom="0.54" header="0.31496062992125984" footer="0.31496062992125984"/>
  <pageSetup paperSize="301" scale="78" fitToHeight="0" orientation="landscape" verticalDpi="7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0" tint="-4.9989318521683403E-2"/>
    <pageSetUpPr fitToPage="1"/>
  </sheetPr>
  <dimension ref="A1:Q34"/>
  <sheetViews>
    <sheetView topLeftCell="A7" zoomScale="70" zoomScaleNormal="70" workbookViewId="0">
      <selection activeCell="D10" sqref="D10"/>
    </sheetView>
  </sheetViews>
  <sheetFormatPr defaultRowHeight="15" x14ac:dyDescent="0.2"/>
  <cols>
    <col min="1" max="1" width="4.85546875" style="13" customWidth="1"/>
    <col min="2" max="2" width="65.85546875" style="13" customWidth="1"/>
    <col min="3" max="3" width="2.42578125" style="13" bestFit="1" customWidth="1"/>
    <col min="4" max="15" width="16.140625" style="13" customWidth="1"/>
    <col min="16" max="16" width="16.28515625" style="13" customWidth="1"/>
    <col min="17" max="21" width="9.140625" style="13"/>
    <col min="22" max="22" width="9.140625" style="13" customWidth="1"/>
    <col min="23" max="16384" width="9.140625" style="13"/>
  </cols>
  <sheetData>
    <row r="1" spans="1:17" ht="15.75" customHeight="1" x14ac:dyDescent="0.25">
      <c r="A1" s="113" t="s">
        <v>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7" ht="15.75" customHeight="1" x14ac:dyDescent="0.2">
      <c r="A2" s="114" t="s">
        <v>110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1:17" ht="15.75" x14ac:dyDescent="0.2">
      <c r="A3" s="21"/>
      <c r="B3" s="21"/>
      <c r="C3" s="21"/>
    </row>
    <row r="4" spans="1:17" x14ac:dyDescent="0.2">
      <c r="A4" s="1" t="s">
        <v>0</v>
      </c>
      <c r="B4" s="1"/>
      <c r="C4" s="1" t="str">
        <f xml:space="preserve"> ": " &amp;'3'!B33</f>
        <v xml:space="preserve">: </v>
      </c>
      <c r="D4" s="13" t="str">
        <f>'Data Perawat'!E2</f>
        <v>Tulis nama di sini</v>
      </c>
    </row>
    <row r="5" spans="1:17" x14ac:dyDescent="0.2">
      <c r="A5" s="115" t="s">
        <v>14</v>
      </c>
      <c r="B5" s="115"/>
      <c r="C5" s="13" t="s">
        <v>13</v>
      </c>
      <c r="D5" s="13" t="str">
        <f>'Data Perawat'!E3</f>
        <v>Tulis PK di sini</v>
      </c>
    </row>
    <row r="6" spans="1:17" x14ac:dyDescent="0.2">
      <c r="A6" s="20"/>
      <c r="B6" s="20"/>
    </row>
    <row r="7" spans="1:17" ht="21.75" customHeight="1" x14ac:dyDescent="0.2">
      <c r="A7" s="116" t="s">
        <v>7</v>
      </c>
      <c r="B7" s="116" t="s">
        <v>8</v>
      </c>
      <c r="C7" s="116"/>
      <c r="D7" s="139" t="s">
        <v>72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18" t="s">
        <v>71</v>
      </c>
    </row>
    <row r="8" spans="1:17" ht="21.75" customHeight="1" x14ac:dyDescent="0.2">
      <c r="A8" s="117"/>
      <c r="B8" s="117"/>
      <c r="C8" s="117"/>
      <c r="D8" s="26" t="s">
        <v>62</v>
      </c>
      <c r="E8" s="26" t="s">
        <v>63</v>
      </c>
      <c r="F8" s="26" t="s">
        <v>64</v>
      </c>
      <c r="G8" s="26" t="s">
        <v>9</v>
      </c>
      <c r="H8" s="26" t="s">
        <v>10</v>
      </c>
      <c r="I8" s="26" t="s">
        <v>11</v>
      </c>
      <c r="J8" s="26" t="s">
        <v>65</v>
      </c>
      <c r="K8" s="26" t="s">
        <v>66</v>
      </c>
      <c r="L8" s="26" t="s">
        <v>67</v>
      </c>
      <c r="M8" s="26" t="s">
        <v>68</v>
      </c>
      <c r="N8" s="26" t="s">
        <v>69</v>
      </c>
      <c r="O8" s="26" t="s">
        <v>70</v>
      </c>
      <c r="P8" s="119"/>
    </row>
    <row r="9" spans="1:17" s="15" customFormat="1" ht="15.75" x14ac:dyDescent="0.25">
      <c r="A9" s="29" t="s">
        <v>6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1"/>
    </row>
    <row r="10" spans="1:17" ht="23.25" customHeight="1" x14ac:dyDescent="0.2">
      <c r="A10" s="16">
        <v>1</v>
      </c>
      <c r="B10" s="101" t="s">
        <v>3</v>
      </c>
      <c r="C10" s="101"/>
      <c r="D10" s="34">
        <f>'JAN '!AJ11</f>
        <v>1.4285714285714284E-2</v>
      </c>
      <c r="E10" s="34">
        <f>FEB!AJ11</f>
        <v>0</v>
      </c>
      <c r="F10" s="34">
        <f>MAR!AK11</f>
        <v>0</v>
      </c>
      <c r="G10" s="34">
        <f>APR!AL11</f>
        <v>0</v>
      </c>
      <c r="H10" s="34">
        <f>MEI!AJ11</f>
        <v>0</v>
      </c>
      <c r="I10" s="34">
        <f>JUN!AJ11</f>
        <v>0</v>
      </c>
      <c r="J10" s="34">
        <f>JUL!AJ11</f>
        <v>0</v>
      </c>
      <c r="K10" s="34">
        <f>AGST!AJ11</f>
        <v>0</v>
      </c>
      <c r="L10" s="34">
        <f>SEP!AJ11</f>
        <v>0</v>
      </c>
      <c r="M10" s="34">
        <f>OKT!AJ11</f>
        <v>0</v>
      </c>
      <c r="N10" s="34">
        <f>NOV!AJ11</f>
        <v>0</v>
      </c>
      <c r="O10" s="34">
        <f>DES!AJ11</f>
        <v>0</v>
      </c>
      <c r="P10" s="34">
        <f>SUM(D10:O10)/12</f>
        <v>1.1904761904761904E-3</v>
      </c>
    </row>
    <row r="11" spans="1:17" ht="39.75" customHeight="1" x14ac:dyDescent="0.2">
      <c r="A11" s="2">
        <v>2</v>
      </c>
      <c r="B11" s="103" t="s">
        <v>4</v>
      </c>
      <c r="C11" s="104"/>
      <c r="D11" s="34">
        <f>'JAN '!AJ12</f>
        <v>1.4285714285714284E-2</v>
      </c>
      <c r="E11" s="34">
        <f>FEB!AJ12</f>
        <v>0</v>
      </c>
      <c r="F11" s="34">
        <f>MAR!AK12</f>
        <v>0</v>
      </c>
      <c r="G11" s="34">
        <f>APR!AL12</f>
        <v>0</v>
      </c>
      <c r="H11" s="34">
        <f>MEI!AJ12</f>
        <v>0</v>
      </c>
      <c r="I11" s="34">
        <f>JUN!AJ12</f>
        <v>0</v>
      </c>
      <c r="J11" s="34">
        <f>JUL!AJ12</f>
        <v>0</v>
      </c>
      <c r="K11" s="34">
        <f>AGST!AJ12</f>
        <v>0</v>
      </c>
      <c r="L11" s="34">
        <f>SEP!AJ12</f>
        <v>0</v>
      </c>
      <c r="M11" s="34">
        <f>OKT!AJ12</f>
        <v>0</v>
      </c>
      <c r="N11" s="34">
        <f>NOV!AJ12</f>
        <v>0</v>
      </c>
      <c r="O11" s="34">
        <f>DES!AJ12</f>
        <v>0</v>
      </c>
      <c r="P11" s="34">
        <f t="shared" ref="P11:P13" si="0">SUM(D11:O11)/12</f>
        <v>1.1904761904761904E-3</v>
      </c>
    </row>
    <row r="12" spans="1:17" ht="23.25" customHeight="1" x14ac:dyDescent="0.2">
      <c r="A12" s="2">
        <v>3</v>
      </c>
      <c r="B12" s="103" t="s">
        <v>5</v>
      </c>
      <c r="C12" s="104"/>
      <c r="D12" s="34">
        <f>'JAN '!AJ13</f>
        <v>0</v>
      </c>
      <c r="E12" s="34">
        <f>FEB!AJ13</f>
        <v>0</v>
      </c>
      <c r="F12" s="34">
        <f>MAR!AK13</f>
        <v>0</v>
      </c>
      <c r="G12" s="34">
        <f>APR!AL13</f>
        <v>0</v>
      </c>
      <c r="H12" s="34">
        <f>MEI!AJ13</f>
        <v>0</v>
      </c>
      <c r="I12" s="34">
        <f>JUN!AJ13</f>
        <v>0</v>
      </c>
      <c r="J12" s="34">
        <f>JUL!AJ13</f>
        <v>0</v>
      </c>
      <c r="K12" s="34">
        <f>AGST!AJ13</f>
        <v>0</v>
      </c>
      <c r="L12" s="34">
        <f>SEP!AJ13</f>
        <v>0</v>
      </c>
      <c r="M12" s="34">
        <f>OKT!AJ13</f>
        <v>0</v>
      </c>
      <c r="N12" s="34">
        <f>NOV!AJ13</f>
        <v>0</v>
      </c>
      <c r="O12" s="34">
        <f>DES!AJ13</f>
        <v>0</v>
      </c>
      <c r="P12" s="34">
        <f t="shared" si="0"/>
        <v>0</v>
      </c>
    </row>
    <row r="13" spans="1:17" ht="29.25" customHeight="1" x14ac:dyDescent="0.2">
      <c r="A13" s="105" t="s">
        <v>12</v>
      </c>
      <c r="B13" s="105"/>
      <c r="C13" s="105"/>
      <c r="D13" s="38">
        <f>AVERAGE(D10:D12)</f>
        <v>9.5238095238095229E-3</v>
      </c>
      <c r="E13" s="38">
        <f>FEB!AJ14</f>
        <v>0</v>
      </c>
      <c r="F13" s="38">
        <f>MAR!AK14</f>
        <v>0</v>
      </c>
      <c r="G13" s="38">
        <f>APR!AL14</f>
        <v>0</v>
      </c>
      <c r="H13" s="38">
        <f>MEI!AJ14</f>
        <v>0</v>
      </c>
      <c r="I13" s="38">
        <f>JUN!AJ14</f>
        <v>0</v>
      </c>
      <c r="J13" s="38">
        <f>JUL!AJ14</f>
        <v>0</v>
      </c>
      <c r="K13" s="38">
        <f>AGST!AJ14</f>
        <v>0</v>
      </c>
      <c r="L13" s="38">
        <f>SEP!AJ14</f>
        <v>0</v>
      </c>
      <c r="M13" s="38">
        <f>OKT!AJ14</f>
        <v>0</v>
      </c>
      <c r="N13" s="38">
        <f>NOV!AJ14</f>
        <v>0</v>
      </c>
      <c r="O13" s="38">
        <f>DES!AJ14</f>
        <v>0</v>
      </c>
      <c r="P13" s="38">
        <f t="shared" si="0"/>
        <v>7.9365079365079354E-4</v>
      </c>
      <c r="Q13" s="78"/>
    </row>
    <row r="14" spans="1:17" s="15" customFormat="1" ht="15.75" x14ac:dyDescent="0.25">
      <c r="A14" s="29" t="s">
        <v>58</v>
      </c>
      <c r="B14" s="30"/>
      <c r="C14" s="30"/>
      <c r="D14" s="34"/>
      <c r="E14" s="67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9"/>
    </row>
    <row r="15" spans="1:17" ht="38.25" customHeight="1" x14ac:dyDescent="0.2">
      <c r="A15" s="2">
        <v>1</v>
      </c>
      <c r="B15" s="103" t="s">
        <v>99</v>
      </c>
      <c r="C15" s="104"/>
      <c r="D15" s="34">
        <f>'JAN '!AJ16</f>
        <v>0</v>
      </c>
      <c r="E15" s="34">
        <f>FEB!AJ16</f>
        <v>0</v>
      </c>
      <c r="F15" s="34">
        <f>MAR!AK16</f>
        <v>0</v>
      </c>
      <c r="G15" s="34">
        <f>APR!AL16</f>
        <v>0</v>
      </c>
      <c r="H15" s="34">
        <f>MEI!AJ16</f>
        <v>0</v>
      </c>
      <c r="I15" s="34">
        <f>JUN!AJ16</f>
        <v>0</v>
      </c>
      <c r="J15" s="34">
        <f>JUL!AJ16</f>
        <v>0</v>
      </c>
      <c r="K15" s="34">
        <f>AGST!AJ16</f>
        <v>0</v>
      </c>
      <c r="L15" s="34">
        <f>SEP!AJ16</f>
        <v>0</v>
      </c>
      <c r="M15" s="34">
        <f>OKT!AJ16</f>
        <v>0</v>
      </c>
      <c r="N15" s="34">
        <f>NOV!AJ16</f>
        <v>0</v>
      </c>
      <c r="O15" s="34">
        <f>DES!AJ16</f>
        <v>0</v>
      </c>
      <c r="P15" s="40">
        <f>SUM(D15:O15)/12</f>
        <v>0</v>
      </c>
    </row>
    <row r="16" spans="1:17" ht="22.5" customHeight="1" x14ac:dyDescent="0.2">
      <c r="A16" s="2">
        <v>2</v>
      </c>
      <c r="B16" s="103" t="s">
        <v>15</v>
      </c>
      <c r="C16" s="104"/>
      <c r="D16" s="34">
        <f>'JAN '!AJ17</f>
        <v>0</v>
      </c>
      <c r="E16" s="34">
        <f>FEB!AJ17</f>
        <v>0</v>
      </c>
      <c r="F16" s="34">
        <f>MAR!AK17</f>
        <v>0</v>
      </c>
      <c r="G16" s="34">
        <f>APR!AL17</f>
        <v>0</v>
      </c>
      <c r="H16" s="34">
        <f>MEI!AJ17</f>
        <v>0</v>
      </c>
      <c r="I16" s="34">
        <f>JUN!AJ17</f>
        <v>0</v>
      </c>
      <c r="J16" s="34">
        <f>JUL!AJ17</f>
        <v>0</v>
      </c>
      <c r="K16" s="34">
        <f>AGST!AJ17</f>
        <v>0</v>
      </c>
      <c r="L16" s="34">
        <f>SEP!AJ17</f>
        <v>0</v>
      </c>
      <c r="M16" s="34">
        <f>OKT!AJ17</f>
        <v>0</v>
      </c>
      <c r="N16" s="34">
        <f>NOV!AJ17</f>
        <v>0</v>
      </c>
      <c r="O16" s="34">
        <f>DES!AJ17</f>
        <v>0</v>
      </c>
      <c r="P16" s="40">
        <f t="shared" ref="P16:P23" si="1">SUM(D16:O16)/12</f>
        <v>0</v>
      </c>
    </row>
    <row r="17" spans="1:17" ht="28.5" customHeight="1" x14ac:dyDescent="0.2">
      <c r="A17" s="106" t="s">
        <v>12</v>
      </c>
      <c r="B17" s="107"/>
      <c r="C17" s="108"/>
      <c r="D17" s="38">
        <f>AVERAGE(D15:D16)</f>
        <v>0</v>
      </c>
      <c r="E17" s="38">
        <f>FEB!AJ18</f>
        <v>0</v>
      </c>
      <c r="F17" s="38">
        <f>MAR!AK18</f>
        <v>0</v>
      </c>
      <c r="G17" s="38">
        <f>APR!AL18</f>
        <v>0</v>
      </c>
      <c r="H17" s="38">
        <f>MEI!AJ18</f>
        <v>0</v>
      </c>
      <c r="I17" s="38">
        <f>JUN!AJ18</f>
        <v>0</v>
      </c>
      <c r="J17" s="38">
        <f>JUL!AJ18</f>
        <v>0</v>
      </c>
      <c r="K17" s="38">
        <f>AGST!AJ18</f>
        <v>0</v>
      </c>
      <c r="L17" s="38">
        <f>SEP!AJ18</f>
        <v>0</v>
      </c>
      <c r="M17" s="38">
        <f>OKT!AJ18</f>
        <v>0</v>
      </c>
      <c r="N17" s="38">
        <f>NOV!AJ18</f>
        <v>0</v>
      </c>
      <c r="O17" s="38">
        <f>DES!AJ18</f>
        <v>0</v>
      </c>
      <c r="P17" s="35">
        <f t="shared" si="1"/>
        <v>0</v>
      </c>
      <c r="Q17" s="78"/>
    </row>
    <row r="18" spans="1:17" ht="15.75" x14ac:dyDescent="0.2">
      <c r="A18" s="29" t="s">
        <v>59</v>
      </c>
      <c r="B18" s="30"/>
      <c r="C18" s="31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40"/>
    </row>
    <row r="19" spans="1:17" ht="20.100000000000001" customHeight="1" x14ac:dyDescent="0.2">
      <c r="A19" s="68">
        <v>1</v>
      </c>
      <c r="B19" s="71" t="s">
        <v>125</v>
      </c>
      <c r="C19" s="31"/>
      <c r="D19" s="72">
        <f>'JAN '!AJ20</f>
        <v>0</v>
      </c>
      <c r="E19" s="34">
        <f>FEB!AJ20</f>
        <v>0</v>
      </c>
      <c r="F19" s="34">
        <f>MAR!AK20</f>
        <v>0</v>
      </c>
      <c r="G19" s="34">
        <f>APR!AL20</f>
        <v>0</v>
      </c>
      <c r="H19" s="34">
        <f>MEI!AJ20</f>
        <v>0</v>
      </c>
      <c r="I19" s="34">
        <f>JUN!AJ20</f>
        <v>0</v>
      </c>
      <c r="J19" s="34">
        <f>JUL!AJ20</f>
        <v>0</v>
      </c>
      <c r="K19" s="34">
        <f>AGST!AJ20</f>
        <v>0</v>
      </c>
      <c r="L19" s="34">
        <f>SEP!AJ20</f>
        <v>0</v>
      </c>
      <c r="M19" s="34">
        <f>OKT!AJ20</f>
        <v>0</v>
      </c>
      <c r="N19" s="34">
        <f>NOV!AJ20</f>
        <v>0</v>
      </c>
      <c r="O19" s="34">
        <f>DES!AJ20</f>
        <v>0</v>
      </c>
      <c r="P19" s="40">
        <f t="shared" si="1"/>
        <v>0</v>
      </c>
    </row>
    <row r="20" spans="1:17" ht="20.100000000000001" customHeight="1" x14ac:dyDescent="0.2">
      <c r="A20" s="68">
        <v>2</v>
      </c>
      <c r="B20" s="71" t="s">
        <v>126</v>
      </c>
      <c r="C20" s="31"/>
      <c r="D20" s="72">
        <f>'JAN '!AJ21</f>
        <v>0</v>
      </c>
      <c r="E20" s="34">
        <f>FEB!AJ21</f>
        <v>0</v>
      </c>
      <c r="F20" s="34">
        <f>MAR!AK21</f>
        <v>0</v>
      </c>
      <c r="G20" s="34">
        <f>APR!AL21</f>
        <v>0</v>
      </c>
      <c r="H20" s="34">
        <f>MEI!AJ21</f>
        <v>0</v>
      </c>
      <c r="I20" s="34">
        <f>JUN!AJ21</f>
        <v>0</v>
      </c>
      <c r="J20" s="34">
        <f>JUL!AJ21</f>
        <v>0</v>
      </c>
      <c r="K20" s="34">
        <f>AGST!AJ21</f>
        <v>0</v>
      </c>
      <c r="L20" s="34">
        <f>SEP!AJ21</f>
        <v>0</v>
      </c>
      <c r="M20" s="34">
        <f>OKT!AJ21</f>
        <v>0</v>
      </c>
      <c r="N20" s="34">
        <f>NOV!AJ21</f>
        <v>0</v>
      </c>
      <c r="O20" s="34">
        <f>DES!AJ21</f>
        <v>0</v>
      </c>
      <c r="P20" s="40">
        <f t="shared" si="1"/>
        <v>0</v>
      </c>
    </row>
    <row r="21" spans="1:17" ht="20.100000000000001" customHeight="1" x14ac:dyDescent="0.2">
      <c r="A21" s="68">
        <v>3</v>
      </c>
      <c r="B21" s="71" t="s">
        <v>127</v>
      </c>
      <c r="C21" s="31"/>
      <c r="D21" s="72">
        <f>'JAN '!AJ22</f>
        <v>0</v>
      </c>
      <c r="E21" s="34">
        <f>FEB!AJ22</f>
        <v>0</v>
      </c>
      <c r="F21" s="34">
        <f>MAR!AK22</f>
        <v>0</v>
      </c>
      <c r="G21" s="34">
        <f>APR!AL22</f>
        <v>0</v>
      </c>
      <c r="H21" s="34">
        <f>MEI!AJ22</f>
        <v>0</v>
      </c>
      <c r="I21" s="34">
        <f>JUN!AJ22</f>
        <v>0</v>
      </c>
      <c r="J21" s="34">
        <f>JUL!AJ22</f>
        <v>0</v>
      </c>
      <c r="K21" s="34">
        <f>AGST!AJ22</f>
        <v>0</v>
      </c>
      <c r="L21" s="34">
        <f>SEP!AJ22</f>
        <v>0</v>
      </c>
      <c r="M21" s="34">
        <f>OKT!AJ22</f>
        <v>0</v>
      </c>
      <c r="N21" s="34">
        <f>NOV!AJ22</f>
        <v>0</v>
      </c>
      <c r="O21" s="34">
        <f>DES!AJ22</f>
        <v>0</v>
      </c>
      <c r="P21" s="40">
        <f t="shared" si="1"/>
        <v>0</v>
      </c>
    </row>
    <row r="22" spans="1:17" ht="20.100000000000001" customHeight="1" x14ac:dyDescent="0.2">
      <c r="A22" s="68">
        <v>4</v>
      </c>
      <c r="B22" s="71" t="s">
        <v>128</v>
      </c>
      <c r="C22" s="31"/>
      <c r="D22" s="72">
        <f>'JAN '!AJ23</f>
        <v>0</v>
      </c>
      <c r="E22" s="34">
        <f>FEB!AJ23</f>
        <v>0</v>
      </c>
      <c r="F22" s="34">
        <f>MAR!AK23</f>
        <v>0</v>
      </c>
      <c r="G22" s="34">
        <f>APR!AL23</f>
        <v>0</v>
      </c>
      <c r="H22" s="34">
        <f>MEI!AJ23</f>
        <v>0</v>
      </c>
      <c r="I22" s="34">
        <f>JUN!AJ23</f>
        <v>0</v>
      </c>
      <c r="J22" s="34">
        <f>JUL!AJ23</f>
        <v>0</v>
      </c>
      <c r="K22" s="34">
        <f>AGST!AJ23</f>
        <v>0</v>
      </c>
      <c r="L22" s="34">
        <f>SEP!AJ23</f>
        <v>0</v>
      </c>
      <c r="M22" s="34">
        <f>OKT!AJ23</f>
        <v>0</v>
      </c>
      <c r="N22" s="34">
        <f>NOV!AJ23</f>
        <v>0</v>
      </c>
      <c r="O22" s="34">
        <f>DES!AJ23</f>
        <v>0</v>
      </c>
      <c r="P22" s="40">
        <f t="shared" si="1"/>
        <v>0</v>
      </c>
    </row>
    <row r="23" spans="1:17" ht="20.100000000000001" customHeight="1" x14ac:dyDescent="0.2">
      <c r="A23" s="68">
        <v>5</v>
      </c>
      <c r="B23" s="71" t="s">
        <v>129</v>
      </c>
      <c r="C23" s="73"/>
      <c r="D23" s="72">
        <f>'JAN '!AJ24</f>
        <v>0</v>
      </c>
      <c r="E23" s="34">
        <f>FEB!AJ24</f>
        <v>0</v>
      </c>
      <c r="F23" s="34">
        <f>MAR!AK24</f>
        <v>0</v>
      </c>
      <c r="G23" s="34">
        <f>APR!AL24</f>
        <v>0</v>
      </c>
      <c r="H23" s="34">
        <f>MEI!AJ24</f>
        <v>0</v>
      </c>
      <c r="I23" s="34">
        <f>JUN!AJ24</f>
        <v>0</v>
      </c>
      <c r="J23" s="34">
        <f>JUL!AJ24</f>
        <v>0</v>
      </c>
      <c r="K23" s="34">
        <f>AGST!AJ24</f>
        <v>0</v>
      </c>
      <c r="L23" s="34">
        <f>SEP!AJ24</f>
        <v>0</v>
      </c>
      <c r="M23" s="34">
        <f>OKT!AJ24</f>
        <v>0</v>
      </c>
      <c r="N23" s="34">
        <f>NOV!AJ24</f>
        <v>0</v>
      </c>
      <c r="O23" s="34">
        <f>DES!AJ24</f>
        <v>0</v>
      </c>
      <c r="P23" s="40">
        <f t="shared" si="1"/>
        <v>0</v>
      </c>
    </row>
    <row r="24" spans="1:17" ht="21.75" customHeight="1" x14ac:dyDescent="0.2">
      <c r="A24" s="68">
        <v>6</v>
      </c>
      <c r="B24" s="137" t="s">
        <v>16</v>
      </c>
      <c r="C24" s="138"/>
      <c r="D24" s="34">
        <f>'JAN '!AJ25</f>
        <v>0</v>
      </c>
      <c r="E24" s="34">
        <f>FEB!AJ25</f>
        <v>0</v>
      </c>
      <c r="F24" s="34">
        <f>MAR!AK25</f>
        <v>0</v>
      </c>
      <c r="G24" s="34">
        <f>APR!AL25</f>
        <v>0</v>
      </c>
      <c r="H24" s="34">
        <f>MEI!AJ25</f>
        <v>0</v>
      </c>
      <c r="I24" s="34">
        <f>JUN!AJ25</f>
        <v>0</v>
      </c>
      <c r="J24" s="34">
        <f>JUL!AJ25</f>
        <v>0</v>
      </c>
      <c r="K24" s="34">
        <f>AGST!AJ25</f>
        <v>0</v>
      </c>
      <c r="L24" s="34">
        <f>SEP!AJ25</f>
        <v>0</v>
      </c>
      <c r="M24" s="34">
        <f>OKT!AJ25</f>
        <v>0</v>
      </c>
      <c r="N24" s="34">
        <f>NOV!AJ25</f>
        <v>0</v>
      </c>
      <c r="O24" s="34">
        <f>DES!AJ25</f>
        <v>0</v>
      </c>
      <c r="P24" s="40">
        <f>SUM(D24:O24)/12</f>
        <v>0</v>
      </c>
    </row>
    <row r="25" spans="1:17" ht="21.75" customHeight="1" x14ac:dyDescent="0.2">
      <c r="A25" s="68">
        <v>7</v>
      </c>
      <c r="B25" s="111" t="s">
        <v>17</v>
      </c>
      <c r="C25" s="111"/>
      <c r="D25" s="34">
        <f>'JAN '!AJ26</f>
        <v>0</v>
      </c>
      <c r="E25" s="34">
        <f>FEB!AJ26</f>
        <v>0</v>
      </c>
      <c r="F25" s="34">
        <f>MAR!AK26</f>
        <v>0</v>
      </c>
      <c r="G25" s="34">
        <f>APR!AL26</f>
        <v>0</v>
      </c>
      <c r="H25" s="34">
        <f>MEI!AJ26</f>
        <v>0</v>
      </c>
      <c r="I25" s="34">
        <f>JUN!AJ26</f>
        <v>0</v>
      </c>
      <c r="J25" s="34">
        <f>JUL!AJ26</f>
        <v>0</v>
      </c>
      <c r="K25" s="34">
        <f>AGST!AJ26</f>
        <v>0</v>
      </c>
      <c r="L25" s="34">
        <f>SEP!AJ26</f>
        <v>0</v>
      </c>
      <c r="M25" s="34">
        <f>OKT!AJ26</f>
        <v>0</v>
      </c>
      <c r="N25" s="34">
        <f>NOV!AJ26</f>
        <v>0</v>
      </c>
      <c r="O25" s="34">
        <f>DES!AJ26</f>
        <v>0</v>
      </c>
      <c r="P25" s="40">
        <f t="shared" ref="P25:P31" si="2">SUM(D25:O25)/12</f>
        <v>0</v>
      </c>
    </row>
    <row r="26" spans="1:17" ht="21.75" customHeight="1" x14ac:dyDescent="0.2">
      <c r="A26" s="68">
        <v>8</v>
      </c>
      <c r="B26" s="112" t="s">
        <v>18</v>
      </c>
      <c r="C26" s="112"/>
      <c r="D26" s="34">
        <f>'JAN '!AJ27</f>
        <v>0</v>
      </c>
      <c r="E26" s="34">
        <f>FEB!AJ27</f>
        <v>0</v>
      </c>
      <c r="F26" s="34">
        <f>MAR!AK27</f>
        <v>0</v>
      </c>
      <c r="G26" s="34">
        <f>APR!AL27</f>
        <v>0</v>
      </c>
      <c r="H26" s="34">
        <f>MEI!AJ27</f>
        <v>0</v>
      </c>
      <c r="I26" s="34">
        <f>JUN!AJ27</f>
        <v>0</v>
      </c>
      <c r="J26" s="34">
        <f>JUL!AJ27</f>
        <v>0</v>
      </c>
      <c r="K26" s="34">
        <f>AGST!AJ27</f>
        <v>0</v>
      </c>
      <c r="L26" s="34">
        <f>SEP!AJ27</f>
        <v>0</v>
      </c>
      <c r="M26" s="34">
        <f>OKT!AJ27</f>
        <v>0</v>
      </c>
      <c r="N26" s="34">
        <f>NOV!AJ27</f>
        <v>0</v>
      </c>
      <c r="O26" s="34">
        <f>DES!AJ27</f>
        <v>0</v>
      </c>
      <c r="P26" s="40">
        <f t="shared" si="2"/>
        <v>0</v>
      </c>
    </row>
    <row r="27" spans="1:17" ht="21.75" customHeight="1" x14ac:dyDescent="0.2">
      <c r="A27" s="68">
        <v>9</v>
      </c>
      <c r="B27" s="112" t="s">
        <v>19</v>
      </c>
      <c r="C27" s="112"/>
      <c r="D27" s="34">
        <f>'JAN '!AJ28</f>
        <v>0</v>
      </c>
      <c r="E27" s="34">
        <f>FEB!AJ28</f>
        <v>0</v>
      </c>
      <c r="F27" s="34">
        <f>MAR!AK28</f>
        <v>0</v>
      </c>
      <c r="G27" s="34">
        <f>APR!AL28</f>
        <v>0</v>
      </c>
      <c r="H27" s="34">
        <f>MEI!AJ28</f>
        <v>0</v>
      </c>
      <c r="I27" s="34">
        <f>JUN!AJ28</f>
        <v>0</v>
      </c>
      <c r="J27" s="34">
        <f>JUL!AJ28</f>
        <v>0</v>
      </c>
      <c r="K27" s="34">
        <f>AGST!AJ28</f>
        <v>0</v>
      </c>
      <c r="L27" s="34">
        <f>SEP!AJ28</f>
        <v>0</v>
      </c>
      <c r="M27" s="34">
        <f>OKT!AJ28</f>
        <v>0</v>
      </c>
      <c r="N27" s="34">
        <f>NOV!AJ28</f>
        <v>0</v>
      </c>
      <c r="O27" s="34">
        <f>DES!AJ28</f>
        <v>0</v>
      </c>
      <c r="P27" s="40">
        <f t="shared" si="2"/>
        <v>0</v>
      </c>
    </row>
    <row r="28" spans="1:17" ht="31.5" customHeight="1" x14ac:dyDescent="0.2">
      <c r="A28" s="68">
        <v>10</v>
      </c>
      <c r="B28" s="97" t="s">
        <v>20</v>
      </c>
      <c r="C28" s="98"/>
      <c r="D28" s="34">
        <f>'JAN '!AJ29</f>
        <v>0</v>
      </c>
      <c r="E28" s="34">
        <f>FEB!AJ29</f>
        <v>0</v>
      </c>
      <c r="F28" s="34">
        <f>MAR!AK29</f>
        <v>0</v>
      </c>
      <c r="G28" s="34">
        <f>APR!AL29</f>
        <v>0</v>
      </c>
      <c r="H28" s="34">
        <f>MEI!AJ29</f>
        <v>0</v>
      </c>
      <c r="I28" s="34">
        <f>JUN!AJ29</f>
        <v>0</v>
      </c>
      <c r="J28" s="34">
        <f>JUL!AJ29</f>
        <v>0</v>
      </c>
      <c r="K28" s="34">
        <f>AGST!AJ29</f>
        <v>0</v>
      </c>
      <c r="L28" s="34">
        <f>SEP!AJ29</f>
        <v>0</v>
      </c>
      <c r="M28" s="34">
        <f>OKT!AJ29</f>
        <v>0</v>
      </c>
      <c r="N28" s="34">
        <f>NOV!AJ29</f>
        <v>0</v>
      </c>
      <c r="O28" s="34">
        <f>DES!AJ29</f>
        <v>0</v>
      </c>
      <c r="P28" s="40">
        <f t="shared" si="2"/>
        <v>0</v>
      </c>
    </row>
    <row r="29" spans="1:17" ht="22.5" customHeight="1" x14ac:dyDescent="0.2">
      <c r="A29" s="68">
        <v>11</v>
      </c>
      <c r="B29" s="97" t="s">
        <v>21</v>
      </c>
      <c r="C29" s="98"/>
      <c r="D29" s="34">
        <f>'JAN '!AJ30</f>
        <v>0</v>
      </c>
      <c r="E29" s="34">
        <f>FEB!AJ30</f>
        <v>0</v>
      </c>
      <c r="F29" s="34">
        <f>MAR!AK30</f>
        <v>0</v>
      </c>
      <c r="G29" s="34">
        <f>APR!AL30</f>
        <v>0</v>
      </c>
      <c r="H29" s="34">
        <f>MEI!AJ30</f>
        <v>0</v>
      </c>
      <c r="I29" s="34">
        <f>JUN!AJ30</f>
        <v>0</v>
      </c>
      <c r="J29" s="34">
        <f>JUL!AJ30</f>
        <v>0</v>
      </c>
      <c r="K29" s="34">
        <f>AGST!AJ30</f>
        <v>0</v>
      </c>
      <c r="L29" s="34">
        <f>SEP!AJ30</f>
        <v>0</v>
      </c>
      <c r="M29" s="34">
        <f>OKT!AJ30</f>
        <v>0</v>
      </c>
      <c r="N29" s="34">
        <f>NOV!AJ30</f>
        <v>0</v>
      </c>
      <c r="O29" s="34">
        <f>DES!AJ30</f>
        <v>0</v>
      </c>
      <c r="P29" s="40">
        <f t="shared" si="2"/>
        <v>0</v>
      </c>
    </row>
    <row r="30" spans="1:17" ht="22.5" customHeight="1" x14ac:dyDescent="0.2">
      <c r="A30" s="68">
        <v>12</v>
      </c>
      <c r="B30" s="97" t="s">
        <v>22</v>
      </c>
      <c r="C30" s="98"/>
      <c r="D30" s="34">
        <f>'JAN '!AJ31</f>
        <v>0</v>
      </c>
      <c r="E30" s="34">
        <f>FEB!AJ31</f>
        <v>0</v>
      </c>
      <c r="F30" s="34">
        <f>MAR!AK31</f>
        <v>0</v>
      </c>
      <c r="G30" s="34">
        <f>APR!AL31</f>
        <v>0</v>
      </c>
      <c r="H30" s="34">
        <f>MEI!AJ31</f>
        <v>0</v>
      </c>
      <c r="I30" s="34">
        <f>JUN!AJ31</f>
        <v>0</v>
      </c>
      <c r="J30" s="34">
        <f>JUL!AJ31</f>
        <v>0</v>
      </c>
      <c r="K30" s="34">
        <f>AGST!AJ31</f>
        <v>0</v>
      </c>
      <c r="L30" s="34">
        <f>SEP!AJ31</f>
        <v>0</v>
      </c>
      <c r="M30" s="34">
        <f>OKT!AJ31</f>
        <v>0</v>
      </c>
      <c r="N30" s="34">
        <f>NOV!AJ31</f>
        <v>0</v>
      </c>
      <c r="O30" s="34">
        <f>DES!AJ31</f>
        <v>0</v>
      </c>
      <c r="P30" s="40">
        <f t="shared" si="2"/>
        <v>0</v>
      </c>
    </row>
    <row r="31" spans="1:17" ht="22.5" customHeight="1" x14ac:dyDescent="0.2">
      <c r="A31" s="68">
        <v>13</v>
      </c>
      <c r="B31" s="112" t="s">
        <v>116</v>
      </c>
      <c r="C31" s="112"/>
      <c r="D31" s="34">
        <f>'JAN '!AJ32</f>
        <v>0</v>
      </c>
      <c r="E31" s="34">
        <f>FEB!AJ32</f>
        <v>0</v>
      </c>
      <c r="F31" s="34">
        <f>MAR!AK32</f>
        <v>0</v>
      </c>
      <c r="G31" s="34">
        <f>APR!AL32</f>
        <v>0</v>
      </c>
      <c r="H31" s="34">
        <f>MEI!AJ32</f>
        <v>0</v>
      </c>
      <c r="I31" s="34">
        <f>JUN!AJ32</f>
        <v>0</v>
      </c>
      <c r="J31" s="34">
        <f>JUL!AJ32</f>
        <v>0</v>
      </c>
      <c r="K31" s="34">
        <f>AGST!AJ32</f>
        <v>0</v>
      </c>
      <c r="L31" s="34">
        <f>SEP!AJ32</f>
        <v>0</v>
      </c>
      <c r="M31" s="34">
        <f>OKT!AJ32</f>
        <v>0</v>
      </c>
      <c r="N31" s="34">
        <f>NOV!AJ32</f>
        <v>0</v>
      </c>
      <c r="O31" s="34">
        <f>DES!AJ32</f>
        <v>0</v>
      </c>
      <c r="P31" s="40">
        <f t="shared" si="2"/>
        <v>0</v>
      </c>
    </row>
    <row r="32" spans="1:17" ht="28.5" customHeight="1" x14ac:dyDescent="0.2">
      <c r="A32" s="134" t="s">
        <v>12</v>
      </c>
      <c r="B32" s="135"/>
      <c r="C32" s="136"/>
      <c r="D32" s="38">
        <f>'JAN '!AJ33</f>
        <v>0</v>
      </c>
      <c r="E32" s="38">
        <f>FEB!AJ33</f>
        <v>0</v>
      </c>
      <c r="F32" s="38">
        <f>MAR!AK33</f>
        <v>0</v>
      </c>
      <c r="G32" s="38">
        <f>APR!AL33</f>
        <v>0</v>
      </c>
      <c r="H32" s="38">
        <f>MEI!AJ33</f>
        <v>0</v>
      </c>
      <c r="I32" s="38">
        <f>JUN!AJ33</f>
        <v>0</v>
      </c>
      <c r="J32" s="38">
        <f>JUL!AJ33</f>
        <v>0</v>
      </c>
      <c r="K32" s="38">
        <f>AGST!AJ33</f>
        <v>0</v>
      </c>
      <c r="L32" s="38">
        <f>SEP!AJ33</f>
        <v>0</v>
      </c>
      <c r="M32" s="38">
        <f>OKT!AJ33</f>
        <v>0</v>
      </c>
      <c r="N32" s="38">
        <f>NOV!AJ33</f>
        <v>0</v>
      </c>
      <c r="O32" s="38">
        <f>DES!AJ33</f>
        <v>0</v>
      </c>
      <c r="P32" s="35">
        <f>SUM(D32:O32)/12</f>
        <v>0</v>
      </c>
      <c r="Q32" s="78"/>
    </row>
    <row r="33" spans="1:16" ht="28.5" customHeight="1" x14ac:dyDescent="0.2">
      <c r="A33" s="133" t="s">
        <v>73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35">
        <f>P13+P17+P32</f>
        <v>7.9365079365079354E-4</v>
      </c>
    </row>
    <row r="34" spans="1:16" ht="28.5" customHeight="1" x14ac:dyDescent="0.2"/>
  </sheetData>
  <sheetProtection selectLockedCells="1" selectUnlockedCells="1"/>
  <mergeCells count="24">
    <mergeCell ref="A1:P1"/>
    <mergeCell ref="A2:P2"/>
    <mergeCell ref="A5:B5"/>
    <mergeCell ref="A7:A8"/>
    <mergeCell ref="B7:C8"/>
    <mergeCell ref="D7:O7"/>
    <mergeCell ref="P7:P8"/>
    <mergeCell ref="B25:C25"/>
    <mergeCell ref="B10:C10"/>
    <mergeCell ref="B11:C11"/>
    <mergeCell ref="B12:C12"/>
    <mergeCell ref="A13:C13"/>
    <mergeCell ref="B15:C15"/>
    <mergeCell ref="B16:C16"/>
    <mergeCell ref="A17:C17"/>
    <mergeCell ref="B24:C24"/>
    <mergeCell ref="A33:O33"/>
    <mergeCell ref="A32:C32"/>
    <mergeCell ref="B26:C26"/>
    <mergeCell ref="B27:C27"/>
    <mergeCell ref="B28:C28"/>
    <mergeCell ref="B29:C29"/>
    <mergeCell ref="B30:C30"/>
    <mergeCell ref="B31:C31"/>
  </mergeCells>
  <pageMargins left="0.93" right="0.35" top="0.32" bottom="0.2" header="0.31496062992125984" footer="0.24"/>
  <pageSetup paperSize="301" scale="84" orientation="landscape" verticalDpi="7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0" tint="-4.9989318521683403E-2"/>
    <pageSetUpPr fitToPage="1"/>
  </sheetPr>
  <dimension ref="A1:K62"/>
  <sheetViews>
    <sheetView tabSelected="1" topLeftCell="A28" zoomScale="80" zoomScaleNormal="80" workbookViewId="0">
      <selection activeCell="E59" sqref="E59"/>
    </sheetView>
  </sheetViews>
  <sheetFormatPr defaultRowHeight="15" x14ac:dyDescent="0.2"/>
  <cols>
    <col min="1" max="1" width="4.85546875" style="13" customWidth="1"/>
    <col min="2" max="2" width="14.28515625" style="13" customWidth="1"/>
    <col min="3" max="3" width="55.5703125" style="13" customWidth="1"/>
    <col min="4" max="4" width="11.7109375" style="13" customWidth="1"/>
    <col min="5" max="5" width="12.42578125" style="13" customWidth="1"/>
    <col min="6" max="6" width="13.28515625" style="13" customWidth="1"/>
    <col min="7" max="7" width="18.85546875" style="13" customWidth="1"/>
    <col min="8" max="8" width="12.140625" style="13" bestFit="1" customWidth="1"/>
    <col min="9" max="9" width="9.140625" style="13"/>
    <col min="10" max="10" width="9.140625" style="13" customWidth="1"/>
    <col min="11" max="11" width="14.85546875" style="13" bestFit="1" customWidth="1"/>
    <col min="12" max="16384" width="9.140625" style="13"/>
  </cols>
  <sheetData>
    <row r="1" spans="1:7" ht="15.75" customHeight="1" x14ac:dyDescent="0.25">
      <c r="A1" s="113" t="s">
        <v>2</v>
      </c>
      <c r="B1" s="113"/>
      <c r="C1" s="113"/>
      <c r="D1" s="113"/>
      <c r="E1" s="113"/>
      <c r="F1" s="113"/>
      <c r="G1" s="113"/>
    </row>
    <row r="2" spans="1:7" ht="15.75" customHeight="1" x14ac:dyDescent="0.2">
      <c r="A2" s="114" t="s">
        <v>110</v>
      </c>
      <c r="B2" s="114"/>
      <c r="C2" s="114"/>
      <c r="D2" s="114"/>
      <c r="E2" s="114"/>
      <c r="F2" s="114"/>
      <c r="G2" s="114"/>
    </row>
    <row r="3" spans="1:7" ht="15.75" customHeight="1" x14ac:dyDescent="0.2">
      <c r="A3" s="114" t="s">
        <v>77</v>
      </c>
      <c r="B3" s="114"/>
      <c r="C3" s="114"/>
      <c r="D3" s="114"/>
      <c r="E3" s="114"/>
      <c r="F3" s="114"/>
      <c r="G3" s="114"/>
    </row>
    <row r="4" spans="1:7" ht="15.75" customHeight="1" x14ac:dyDescent="0.2">
      <c r="A4" s="114"/>
      <c r="B4" s="114"/>
      <c r="C4" s="114"/>
      <c r="D4" s="114"/>
      <c r="E4" s="114"/>
      <c r="F4" s="114"/>
      <c r="G4" s="114"/>
    </row>
    <row r="5" spans="1:7" ht="15.75" customHeight="1" x14ac:dyDescent="0.2">
      <c r="A5" s="114"/>
      <c r="B5" s="114"/>
      <c r="C5" s="114"/>
      <c r="D5" s="114"/>
      <c r="E5" s="114"/>
      <c r="F5" s="114"/>
      <c r="G5" s="114"/>
    </row>
    <row r="6" spans="1:7" ht="15.75" customHeight="1" x14ac:dyDescent="0.2">
      <c r="A6" s="21"/>
      <c r="B6" s="21"/>
      <c r="C6" s="21"/>
      <c r="D6" s="21"/>
    </row>
    <row r="7" spans="1:7" ht="15.75" customHeight="1" x14ac:dyDescent="0.2">
      <c r="A7" s="114" t="s">
        <v>78</v>
      </c>
      <c r="B7" s="114"/>
      <c r="C7" s="114"/>
      <c r="D7" s="114"/>
      <c r="E7" s="114"/>
      <c r="F7" s="114"/>
      <c r="G7" s="114"/>
    </row>
    <row r="8" spans="1:7" ht="15.75" customHeight="1" x14ac:dyDescent="0.2">
      <c r="A8" s="51" t="s">
        <v>0</v>
      </c>
      <c r="B8" s="52"/>
      <c r="C8" s="50" t="str">
        <f xml:space="preserve"> ": " &amp;'Data Perawat'!E2</f>
        <v>: Tulis nama di sini</v>
      </c>
      <c r="D8" s="21"/>
      <c r="E8" s="13" t="s">
        <v>79</v>
      </c>
      <c r="F8" s="13" t="str">
        <f xml:space="preserve"> ": " &amp;'Data Perawat'!E5</f>
        <v>: Tulis NIP di sini</v>
      </c>
    </row>
    <row r="9" spans="1:7" ht="15.75" customHeight="1" x14ac:dyDescent="0.2">
      <c r="A9" s="51" t="s">
        <v>1</v>
      </c>
      <c r="B9" s="52"/>
      <c r="C9" s="51" t="s">
        <v>95</v>
      </c>
      <c r="D9" s="21"/>
      <c r="E9" s="13" t="s">
        <v>14</v>
      </c>
      <c r="F9" s="13" t="str">
        <f xml:space="preserve"> ": " &amp;'Data Perawat'!E3</f>
        <v>: Tulis PK di sini</v>
      </c>
    </row>
    <row r="10" spans="1:7" ht="15.75" customHeight="1" x14ac:dyDescent="0.2">
      <c r="A10" s="51" t="s">
        <v>80</v>
      </c>
      <c r="B10" s="52"/>
      <c r="C10" s="51" t="str">
        <f xml:space="preserve"> ": " &amp;'Data Perawat'!E4</f>
        <v>: Tulis Unit di sini</v>
      </c>
      <c r="D10" s="21"/>
    </row>
    <row r="11" spans="1:7" ht="15.75" customHeight="1" x14ac:dyDescent="0.2">
      <c r="A11" s="114" t="s">
        <v>81</v>
      </c>
      <c r="B11" s="114"/>
      <c r="C11" s="114"/>
      <c r="D11" s="114"/>
      <c r="E11" s="114"/>
      <c r="F11" s="114"/>
      <c r="G11" s="114"/>
    </row>
    <row r="12" spans="1:7" ht="15.75" customHeight="1" x14ac:dyDescent="0.2">
      <c r="A12" s="51" t="s">
        <v>82</v>
      </c>
      <c r="B12" s="21"/>
      <c r="C12" s="50" t="s">
        <v>115</v>
      </c>
      <c r="D12" s="21"/>
      <c r="E12" s="13" t="s">
        <v>79</v>
      </c>
    </row>
    <row r="13" spans="1:7" ht="15.75" customHeight="1" x14ac:dyDescent="0.2">
      <c r="A13" s="51" t="s">
        <v>1</v>
      </c>
      <c r="B13" s="21"/>
      <c r="C13" s="51" t="s">
        <v>115</v>
      </c>
      <c r="D13" s="21"/>
    </row>
    <row r="14" spans="1:7" ht="15.75" customHeight="1" x14ac:dyDescent="0.2">
      <c r="A14" s="51" t="s">
        <v>80</v>
      </c>
      <c r="B14" s="21"/>
      <c r="C14" s="51" t="s">
        <v>115</v>
      </c>
      <c r="D14" s="21"/>
    </row>
    <row r="15" spans="1:7" ht="15.75" customHeight="1" x14ac:dyDescent="0.2">
      <c r="A15" s="114" t="s">
        <v>83</v>
      </c>
      <c r="B15" s="114"/>
      <c r="C15" s="114"/>
      <c r="D15" s="114"/>
      <c r="E15" s="114"/>
      <c r="F15" s="114"/>
      <c r="G15" s="114"/>
    </row>
    <row r="16" spans="1:7" ht="15.75" x14ac:dyDescent="0.2">
      <c r="A16" s="51" t="s">
        <v>82</v>
      </c>
      <c r="B16" s="21"/>
      <c r="C16" s="50"/>
      <c r="E16" s="13" t="s">
        <v>79</v>
      </c>
    </row>
    <row r="17" spans="1:11" x14ac:dyDescent="0.2">
      <c r="A17" s="1" t="s">
        <v>1</v>
      </c>
      <c r="B17" s="1"/>
      <c r="C17" s="1" t="s">
        <v>96</v>
      </c>
    </row>
    <row r="18" spans="1:11" x14ac:dyDescent="0.2">
      <c r="A18" s="115" t="s">
        <v>80</v>
      </c>
      <c r="B18" s="115"/>
      <c r="C18" s="20" t="s">
        <v>97</v>
      </c>
    </row>
    <row r="19" spans="1:11" x14ac:dyDescent="0.2">
      <c r="A19" s="20"/>
      <c r="B19" s="20"/>
    </row>
    <row r="20" spans="1:11" ht="21.75" customHeight="1" x14ac:dyDescent="0.2">
      <c r="A20" s="146" t="s">
        <v>7</v>
      </c>
      <c r="B20" s="146" t="s">
        <v>8</v>
      </c>
      <c r="C20" s="146"/>
      <c r="D20" s="140" t="s">
        <v>88</v>
      </c>
      <c r="E20" s="146" t="s">
        <v>89</v>
      </c>
      <c r="F20" s="146" t="s">
        <v>90</v>
      </c>
      <c r="G20" s="140" t="s">
        <v>91</v>
      </c>
    </row>
    <row r="21" spans="1:11" ht="21.75" customHeight="1" x14ac:dyDescent="0.2">
      <c r="A21" s="146"/>
      <c r="B21" s="146"/>
      <c r="C21" s="146"/>
      <c r="D21" s="140"/>
      <c r="E21" s="146"/>
      <c r="F21" s="146"/>
      <c r="G21" s="140"/>
    </row>
    <row r="22" spans="1:11" s="15" customFormat="1" ht="15.75" x14ac:dyDescent="0.25">
      <c r="A22" s="141" t="s">
        <v>6</v>
      </c>
      <c r="B22" s="141"/>
      <c r="C22" s="141"/>
      <c r="D22" s="141"/>
      <c r="E22" s="141"/>
      <c r="F22" s="141"/>
      <c r="G22" s="141"/>
    </row>
    <row r="23" spans="1:11" ht="23.25" customHeight="1" x14ac:dyDescent="0.2">
      <c r="A23" s="2">
        <v>1</v>
      </c>
      <c r="B23" s="102" t="s">
        <v>3</v>
      </c>
      <c r="C23" s="102"/>
      <c r="D23" s="70">
        <v>100</v>
      </c>
      <c r="E23" s="40">
        <f>TAHUNAN!P10</f>
        <v>1.1904761904761904E-3</v>
      </c>
      <c r="F23" s="86">
        <v>0.4</v>
      </c>
      <c r="G23" s="40">
        <f>(40/100)*E23</f>
        <v>4.7619047619047619E-4</v>
      </c>
      <c r="H23" s="78"/>
    </row>
    <row r="24" spans="1:11" ht="39.75" customHeight="1" x14ac:dyDescent="0.2">
      <c r="A24" s="2">
        <v>2</v>
      </c>
      <c r="B24" s="102" t="s">
        <v>4</v>
      </c>
      <c r="C24" s="102"/>
      <c r="D24" s="70">
        <v>100</v>
      </c>
      <c r="E24" s="40">
        <f>TAHUNAN!P11</f>
        <v>1.1904761904761904E-3</v>
      </c>
      <c r="F24" s="86">
        <v>0.4</v>
      </c>
      <c r="G24" s="40">
        <f t="shared" ref="G24:G25" si="0">(40/100)*E24</f>
        <v>4.7619047619047619E-4</v>
      </c>
      <c r="H24" s="78"/>
    </row>
    <row r="25" spans="1:11" ht="23.25" customHeight="1" x14ac:dyDescent="0.2">
      <c r="A25" s="2">
        <v>3</v>
      </c>
      <c r="B25" s="102" t="s">
        <v>5</v>
      </c>
      <c r="C25" s="102"/>
      <c r="D25" s="70">
        <v>100</v>
      </c>
      <c r="E25" s="40">
        <f>TAHUNAN!P12</f>
        <v>0</v>
      </c>
      <c r="F25" s="86">
        <v>0.4</v>
      </c>
      <c r="G25" s="40">
        <f t="shared" si="0"/>
        <v>0</v>
      </c>
      <c r="H25" s="78"/>
    </row>
    <row r="26" spans="1:11" ht="29.25" customHeight="1" x14ac:dyDescent="0.2">
      <c r="A26" s="105" t="s">
        <v>12</v>
      </c>
      <c r="B26" s="105"/>
      <c r="C26" s="105"/>
      <c r="D26" s="147">
        <f>SUM(G23:G25)</f>
        <v>9.5238095238095238E-4</v>
      </c>
      <c r="E26" s="147"/>
      <c r="F26" s="147"/>
      <c r="G26" s="147"/>
      <c r="H26" s="78"/>
    </row>
    <row r="27" spans="1:11" s="15" customFormat="1" ht="15.75" x14ac:dyDescent="0.25">
      <c r="A27" s="141" t="s">
        <v>58</v>
      </c>
      <c r="B27" s="141"/>
      <c r="C27" s="141"/>
      <c r="D27" s="141"/>
      <c r="E27" s="141"/>
      <c r="F27" s="141"/>
      <c r="G27" s="141"/>
      <c r="H27" s="79"/>
    </row>
    <row r="28" spans="1:11" ht="38.25" customHeight="1" x14ac:dyDescent="0.2">
      <c r="A28" s="2">
        <v>1</v>
      </c>
      <c r="B28" s="102" t="s">
        <v>99</v>
      </c>
      <c r="C28" s="102"/>
      <c r="D28" s="70">
        <v>100</v>
      </c>
      <c r="E28" s="40">
        <f>TAHUNAN!P15</f>
        <v>0</v>
      </c>
      <c r="F28" s="86">
        <v>0.1</v>
      </c>
      <c r="G28" s="87">
        <f>(10/100)*E28</f>
        <v>0</v>
      </c>
      <c r="H28" s="80"/>
    </row>
    <row r="29" spans="1:11" ht="22.5" customHeight="1" x14ac:dyDescent="0.2">
      <c r="A29" s="2">
        <v>2</v>
      </c>
      <c r="B29" s="102" t="s">
        <v>15</v>
      </c>
      <c r="C29" s="102"/>
      <c r="D29" s="70">
        <v>100</v>
      </c>
      <c r="E29" s="40">
        <f>TAHUNAN!P16</f>
        <v>0</v>
      </c>
      <c r="F29" s="86">
        <v>0.1</v>
      </c>
      <c r="G29" s="87">
        <f>(10/100)*E29</f>
        <v>0</v>
      </c>
      <c r="H29" s="80"/>
    </row>
    <row r="30" spans="1:11" ht="28.5" customHeight="1" x14ac:dyDescent="0.25">
      <c r="A30" s="105" t="s">
        <v>12</v>
      </c>
      <c r="B30" s="105"/>
      <c r="C30" s="105"/>
      <c r="D30" s="142">
        <f>SUM(G28:G29)</f>
        <v>0</v>
      </c>
      <c r="E30" s="143"/>
      <c r="F30" s="143"/>
      <c r="G30" s="143"/>
      <c r="H30" s="80"/>
    </row>
    <row r="31" spans="1:11" ht="15.75" x14ac:dyDescent="0.2">
      <c r="A31" s="141" t="s">
        <v>94</v>
      </c>
      <c r="B31" s="141"/>
      <c r="C31" s="141"/>
      <c r="D31" s="141"/>
      <c r="E31" s="141"/>
      <c r="F31" s="141"/>
      <c r="G31" s="141"/>
    </row>
    <row r="32" spans="1:11" ht="20.100000000000001" customHeight="1" x14ac:dyDescent="0.25">
      <c r="A32" s="75">
        <v>1</v>
      </c>
      <c r="B32" s="63" t="s">
        <v>125</v>
      </c>
      <c r="C32" s="63"/>
      <c r="D32" s="82">
        <v>100</v>
      </c>
      <c r="E32" s="83">
        <f>TAHUNAN!P19</f>
        <v>0</v>
      </c>
      <c r="F32" s="84">
        <v>0.5</v>
      </c>
      <c r="G32" s="85">
        <f>(50/100)*E32</f>
        <v>0</v>
      </c>
      <c r="H32" s="80"/>
      <c r="K32" s="81"/>
    </row>
    <row r="33" spans="1:11" ht="20.100000000000001" customHeight="1" x14ac:dyDescent="0.25">
      <c r="A33" s="75">
        <v>2</v>
      </c>
      <c r="B33" s="63" t="s">
        <v>126</v>
      </c>
      <c r="C33" s="63"/>
      <c r="D33" s="82">
        <v>100</v>
      </c>
      <c r="E33" s="83">
        <f>TAHUNAN!P20</f>
        <v>0</v>
      </c>
      <c r="F33" s="84">
        <v>0.5</v>
      </c>
      <c r="G33" s="85">
        <f t="shared" ref="G33:G44" si="1">(50/100)*E33</f>
        <v>0</v>
      </c>
      <c r="H33" s="80"/>
      <c r="K33" s="81"/>
    </row>
    <row r="34" spans="1:11" ht="20.100000000000001" customHeight="1" x14ac:dyDescent="0.25">
      <c r="A34" s="75">
        <v>3</v>
      </c>
      <c r="B34" s="63" t="s">
        <v>127</v>
      </c>
      <c r="C34" s="63"/>
      <c r="D34" s="82">
        <v>100</v>
      </c>
      <c r="E34" s="83">
        <f>TAHUNAN!P21</f>
        <v>0</v>
      </c>
      <c r="F34" s="84">
        <v>0.5</v>
      </c>
      <c r="G34" s="85">
        <f t="shared" si="1"/>
        <v>0</v>
      </c>
      <c r="H34" s="80"/>
      <c r="K34" s="81"/>
    </row>
    <row r="35" spans="1:11" ht="20.100000000000001" customHeight="1" x14ac:dyDescent="0.25">
      <c r="A35" s="75">
        <v>4</v>
      </c>
      <c r="B35" s="63" t="s">
        <v>128</v>
      </c>
      <c r="C35" s="63"/>
      <c r="D35" s="82">
        <v>100</v>
      </c>
      <c r="E35" s="83">
        <f>TAHUNAN!P22</f>
        <v>0</v>
      </c>
      <c r="F35" s="84">
        <v>0.5</v>
      </c>
      <c r="G35" s="85">
        <f t="shared" si="1"/>
        <v>0</v>
      </c>
      <c r="H35" s="80"/>
      <c r="K35" s="81"/>
    </row>
    <row r="36" spans="1:11" ht="20.100000000000001" customHeight="1" x14ac:dyDescent="0.25">
      <c r="A36" s="75">
        <v>5</v>
      </c>
      <c r="B36" s="63" t="s">
        <v>129</v>
      </c>
      <c r="C36" s="63"/>
      <c r="D36" s="82">
        <v>100</v>
      </c>
      <c r="E36" s="83">
        <f>TAHUNAN!P23</f>
        <v>0</v>
      </c>
      <c r="F36" s="84">
        <v>0.5</v>
      </c>
      <c r="G36" s="85">
        <f t="shared" si="1"/>
        <v>0</v>
      </c>
      <c r="H36" s="80"/>
      <c r="K36" s="81"/>
    </row>
    <row r="37" spans="1:11" ht="21.75" customHeight="1" x14ac:dyDescent="0.25">
      <c r="A37" s="75">
        <v>6</v>
      </c>
      <c r="B37" s="129" t="s">
        <v>16</v>
      </c>
      <c r="C37" s="129"/>
      <c r="D37" s="82">
        <v>100</v>
      </c>
      <c r="E37" s="83">
        <f>TAHUNAN!P24</f>
        <v>0</v>
      </c>
      <c r="F37" s="84">
        <v>0.5</v>
      </c>
      <c r="G37" s="85">
        <f t="shared" si="1"/>
        <v>0</v>
      </c>
      <c r="H37" s="80"/>
      <c r="K37" s="81"/>
    </row>
    <row r="38" spans="1:11" ht="21.75" customHeight="1" x14ac:dyDescent="0.25">
      <c r="A38" s="75">
        <v>7</v>
      </c>
      <c r="B38" s="111" t="s">
        <v>17</v>
      </c>
      <c r="C38" s="111"/>
      <c r="D38" s="82">
        <v>100</v>
      </c>
      <c r="E38" s="83">
        <f>TAHUNAN!P25</f>
        <v>0</v>
      </c>
      <c r="F38" s="84">
        <v>0.5</v>
      </c>
      <c r="G38" s="85">
        <f t="shared" si="1"/>
        <v>0</v>
      </c>
      <c r="H38" s="80"/>
      <c r="K38" s="81"/>
    </row>
    <row r="39" spans="1:11" ht="21.75" customHeight="1" x14ac:dyDescent="0.25">
      <c r="A39" s="75">
        <v>8</v>
      </c>
      <c r="B39" s="112" t="s">
        <v>18</v>
      </c>
      <c r="C39" s="112"/>
      <c r="D39" s="82" t="s">
        <v>92</v>
      </c>
      <c r="E39" s="83">
        <f>TAHUNAN!P26</f>
        <v>0</v>
      </c>
      <c r="F39" s="84">
        <v>0.5</v>
      </c>
      <c r="G39" s="85">
        <f t="shared" si="1"/>
        <v>0</v>
      </c>
      <c r="H39" s="80"/>
      <c r="K39" s="81"/>
    </row>
    <row r="40" spans="1:11" ht="21.75" customHeight="1" x14ac:dyDescent="0.25">
      <c r="A40" s="75">
        <v>9</v>
      </c>
      <c r="B40" s="112" t="s">
        <v>19</v>
      </c>
      <c r="C40" s="112"/>
      <c r="D40" s="82">
        <v>100</v>
      </c>
      <c r="E40" s="83">
        <f>TAHUNAN!P27</f>
        <v>0</v>
      </c>
      <c r="F40" s="84">
        <v>0.5</v>
      </c>
      <c r="G40" s="85">
        <f t="shared" si="1"/>
        <v>0</v>
      </c>
      <c r="H40" s="80"/>
      <c r="K40" s="81"/>
    </row>
    <row r="41" spans="1:11" ht="31.5" customHeight="1" x14ac:dyDescent="0.25">
      <c r="A41" s="75">
        <v>10</v>
      </c>
      <c r="B41" s="112" t="s">
        <v>20</v>
      </c>
      <c r="C41" s="112"/>
      <c r="D41" s="82">
        <v>100</v>
      </c>
      <c r="E41" s="83">
        <f>TAHUNAN!P28</f>
        <v>0</v>
      </c>
      <c r="F41" s="84">
        <v>0.5</v>
      </c>
      <c r="G41" s="85">
        <f t="shared" si="1"/>
        <v>0</v>
      </c>
      <c r="H41" s="80"/>
      <c r="K41" s="81"/>
    </row>
    <row r="42" spans="1:11" ht="22.5" customHeight="1" x14ac:dyDescent="0.25">
      <c r="A42" s="75">
        <v>11</v>
      </c>
      <c r="B42" s="112" t="s">
        <v>21</v>
      </c>
      <c r="C42" s="112"/>
      <c r="D42" s="82">
        <v>100</v>
      </c>
      <c r="E42" s="83">
        <f>TAHUNAN!P29</f>
        <v>0</v>
      </c>
      <c r="F42" s="84">
        <v>0.5</v>
      </c>
      <c r="G42" s="85">
        <f t="shared" si="1"/>
        <v>0</v>
      </c>
      <c r="H42" s="80"/>
      <c r="K42" s="81"/>
    </row>
    <row r="43" spans="1:11" ht="22.5" customHeight="1" x14ac:dyDescent="0.25">
      <c r="A43" s="75">
        <v>12</v>
      </c>
      <c r="B43" s="112" t="s">
        <v>22</v>
      </c>
      <c r="C43" s="112"/>
      <c r="D43" s="82">
        <v>100</v>
      </c>
      <c r="E43" s="83">
        <f>TAHUNAN!P30</f>
        <v>0</v>
      </c>
      <c r="F43" s="84">
        <v>0.5</v>
      </c>
      <c r="G43" s="85">
        <f t="shared" si="1"/>
        <v>0</v>
      </c>
      <c r="H43" s="80"/>
      <c r="K43" s="81"/>
    </row>
    <row r="44" spans="1:11" ht="22.5" customHeight="1" x14ac:dyDescent="0.25">
      <c r="A44" s="75">
        <v>13</v>
      </c>
      <c r="B44" s="112" t="s">
        <v>116</v>
      </c>
      <c r="C44" s="112"/>
      <c r="D44" s="83" t="s">
        <v>93</v>
      </c>
      <c r="E44" s="83">
        <f>TAHUNAN!P31</f>
        <v>0</v>
      </c>
      <c r="F44" s="84">
        <v>0.5</v>
      </c>
      <c r="G44" s="85">
        <f t="shared" si="1"/>
        <v>0</v>
      </c>
      <c r="H44" s="80"/>
      <c r="K44" s="80"/>
    </row>
    <row r="45" spans="1:11" ht="28.5" customHeight="1" x14ac:dyDescent="0.2">
      <c r="A45" s="99" t="s">
        <v>12</v>
      </c>
      <c r="B45" s="99"/>
      <c r="C45" s="99"/>
      <c r="D45" s="144">
        <f>SUM(G32:G44)</f>
        <v>0</v>
      </c>
      <c r="E45" s="144"/>
      <c r="F45" s="144"/>
      <c r="G45" s="144"/>
      <c r="H45" s="80"/>
      <c r="K45" s="80"/>
    </row>
    <row r="46" spans="1:11" ht="28.5" customHeight="1" x14ac:dyDescent="0.2">
      <c r="A46" s="105" t="s">
        <v>131</v>
      </c>
      <c r="B46" s="105"/>
      <c r="C46" s="105"/>
      <c r="D46" s="145">
        <f>AVERAGE(D26+D30+D45)</f>
        <v>9.5238095238095238E-4</v>
      </c>
      <c r="E46" s="145"/>
      <c r="F46" s="145"/>
      <c r="G46" s="145"/>
    </row>
    <row r="47" spans="1:11" ht="28.5" customHeight="1" x14ac:dyDescent="0.2"/>
    <row r="48" spans="1:11" ht="15.75" x14ac:dyDescent="0.25">
      <c r="C48" s="48" t="s">
        <v>23</v>
      </c>
      <c r="D48" s="53"/>
      <c r="E48" s="53"/>
      <c r="F48" s="48" t="s">
        <v>84</v>
      </c>
      <c r="G48" s="53"/>
    </row>
    <row r="52" spans="3:7" x14ac:dyDescent="0.2">
      <c r="C52" s="14" t="s">
        <v>85</v>
      </c>
      <c r="E52" s="14"/>
      <c r="F52" s="13" t="str">
        <f>'Data Perawat'!E2</f>
        <v>Tulis nama di sini</v>
      </c>
      <c r="G52" s="14"/>
    </row>
    <row r="55" spans="3:7" ht="15.75" x14ac:dyDescent="0.25">
      <c r="D55" s="48" t="s">
        <v>86</v>
      </c>
    </row>
    <row r="56" spans="3:7" ht="15.75" x14ac:dyDescent="0.25">
      <c r="D56" s="48" t="s">
        <v>87</v>
      </c>
    </row>
    <row r="60" spans="3:7" x14ac:dyDescent="0.2">
      <c r="D60" s="54"/>
    </row>
    <row r="61" spans="3:7" x14ac:dyDescent="0.2">
      <c r="D61" s="14"/>
    </row>
    <row r="62" spans="3:7" x14ac:dyDescent="0.2">
      <c r="D62" s="14"/>
    </row>
  </sheetData>
  <mergeCells count="39">
    <mergeCell ref="A1:G1"/>
    <mergeCell ref="A2:G2"/>
    <mergeCell ref="A3:G3"/>
    <mergeCell ref="B28:C28"/>
    <mergeCell ref="B29:C29"/>
    <mergeCell ref="A18:B18"/>
    <mergeCell ref="A20:A21"/>
    <mergeCell ref="B20:C21"/>
    <mergeCell ref="E20:E21"/>
    <mergeCell ref="F20:F21"/>
    <mergeCell ref="G20:G21"/>
    <mergeCell ref="D26:G26"/>
    <mergeCell ref="A27:G27"/>
    <mergeCell ref="A22:G22"/>
    <mergeCell ref="B23:C23"/>
    <mergeCell ref="B24:C24"/>
    <mergeCell ref="A46:C46"/>
    <mergeCell ref="A30:C30"/>
    <mergeCell ref="B37:C37"/>
    <mergeCell ref="B38:C38"/>
    <mergeCell ref="B39:C39"/>
    <mergeCell ref="B40:C40"/>
    <mergeCell ref="A31:G31"/>
    <mergeCell ref="B41:C41"/>
    <mergeCell ref="B42:C42"/>
    <mergeCell ref="B43:C43"/>
    <mergeCell ref="A45:C45"/>
    <mergeCell ref="B44:C44"/>
    <mergeCell ref="D30:G30"/>
    <mergeCell ref="D45:G45"/>
    <mergeCell ref="D46:G46"/>
    <mergeCell ref="B25:C25"/>
    <mergeCell ref="A26:C26"/>
    <mergeCell ref="D20:D21"/>
    <mergeCell ref="A4:G4"/>
    <mergeCell ref="A5:G5"/>
    <mergeCell ref="A7:G7"/>
    <mergeCell ref="A11:G11"/>
    <mergeCell ref="A15:G15"/>
  </mergeCells>
  <pageMargins left="0.93" right="0.35" top="0.32" bottom="0.2" header="0.31496062992125984" footer="0.24"/>
  <pageSetup paperSize="301" scale="47" orientation="landscape" verticalDpi="7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0000"/>
    <pageSetUpPr fitToPage="1"/>
  </sheetPr>
  <dimension ref="A1:C40"/>
  <sheetViews>
    <sheetView workbookViewId="0">
      <selection sqref="A1:P28 C4 C4 C4 C4 C4 C4 C4 C4 C4 C4 C4 C4 C4 C4 C4 C4 C4 C4 C4 C4 C4 C4 C4 C4 C4 C4 C4 C4"/>
    </sheetView>
  </sheetViews>
  <sheetFormatPr defaultRowHeight="15" x14ac:dyDescent="0.25"/>
  <cols>
    <col min="1" max="1" width="6.140625" customWidth="1"/>
    <col min="2" max="2" width="31.42578125" customWidth="1"/>
    <col min="3" max="3" width="31.42578125" bestFit="1" customWidth="1"/>
  </cols>
  <sheetData>
    <row r="1" spans="1:3" x14ac:dyDescent="0.25">
      <c r="A1" s="148" t="s">
        <v>25</v>
      </c>
      <c r="B1" s="148"/>
      <c r="C1" s="148"/>
    </row>
    <row r="2" spans="1:3" x14ac:dyDescent="0.25">
      <c r="A2" s="148" t="s">
        <v>26</v>
      </c>
      <c r="B2" s="148"/>
      <c r="C2" s="148"/>
    </row>
    <row r="4" spans="1:3" s="12" customFormat="1" ht="21.75" customHeight="1" x14ac:dyDescent="0.25">
      <c r="A4" s="5" t="s">
        <v>7</v>
      </c>
      <c r="B4" s="5" t="s">
        <v>27</v>
      </c>
      <c r="C4" s="5" t="s">
        <v>28</v>
      </c>
    </row>
    <row r="5" spans="1:3" x14ac:dyDescent="0.25">
      <c r="A5" s="4">
        <v>1</v>
      </c>
      <c r="B5" s="10" t="s">
        <v>46</v>
      </c>
      <c r="C5" s="3"/>
    </row>
    <row r="6" spans="1:3" x14ac:dyDescent="0.25">
      <c r="A6" s="4">
        <v>2</v>
      </c>
      <c r="B6" s="10" t="s">
        <v>34</v>
      </c>
      <c r="C6" s="3"/>
    </row>
    <row r="7" spans="1:3" x14ac:dyDescent="0.25">
      <c r="A7" s="4">
        <v>3</v>
      </c>
      <c r="B7" s="10" t="s">
        <v>40</v>
      </c>
      <c r="C7" s="3"/>
    </row>
    <row r="8" spans="1:3" x14ac:dyDescent="0.25">
      <c r="A8" s="4">
        <v>4</v>
      </c>
      <c r="B8" s="9" t="s">
        <v>30</v>
      </c>
      <c r="C8" s="3"/>
    </row>
    <row r="9" spans="1:3" x14ac:dyDescent="0.25">
      <c r="A9" s="4">
        <v>5</v>
      </c>
      <c r="B9" s="10" t="s">
        <v>33</v>
      </c>
      <c r="C9" s="3"/>
    </row>
    <row r="10" spans="1:3" x14ac:dyDescent="0.25">
      <c r="A10" s="4">
        <v>6</v>
      </c>
      <c r="B10" s="11" t="s">
        <v>37</v>
      </c>
      <c r="C10" s="3"/>
    </row>
    <row r="11" spans="1:3" x14ac:dyDescent="0.25">
      <c r="A11" s="4">
        <v>7</v>
      </c>
      <c r="B11" s="10" t="s">
        <v>39</v>
      </c>
      <c r="C11" s="3"/>
    </row>
    <row r="12" spans="1:3" x14ac:dyDescent="0.25">
      <c r="A12" s="4">
        <v>8</v>
      </c>
      <c r="B12" s="10" t="s">
        <v>57</v>
      </c>
      <c r="C12" s="3"/>
    </row>
    <row r="13" spans="1:3" x14ac:dyDescent="0.25">
      <c r="A13" s="4">
        <v>9</v>
      </c>
      <c r="B13" s="10" t="s">
        <v>36</v>
      </c>
      <c r="C13" s="3"/>
    </row>
    <row r="14" spans="1:3" x14ac:dyDescent="0.25">
      <c r="A14" s="4">
        <v>10</v>
      </c>
      <c r="B14" s="10" t="s">
        <v>47</v>
      </c>
      <c r="C14" s="3"/>
    </row>
    <row r="15" spans="1:3" x14ac:dyDescent="0.25">
      <c r="A15" s="4">
        <v>11</v>
      </c>
      <c r="B15" s="10" t="s">
        <v>38</v>
      </c>
      <c r="C15" s="3"/>
    </row>
    <row r="16" spans="1:3" x14ac:dyDescent="0.25">
      <c r="A16" s="4">
        <v>12</v>
      </c>
      <c r="B16" s="10" t="s">
        <v>43</v>
      </c>
      <c r="C16" s="3"/>
    </row>
    <row r="17" spans="1:3" x14ac:dyDescent="0.25">
      <c r="A17" s="4">
        <v>13</v>
      </c>
      <c r="B17" s="10" t="s">
        <v>56</v>
      </c>
      <c r="C17" s="3"/>
    </row>
    <row r="18" spans="1:3" x14ac:dyDescent="0.25">
      <c r="A18" s="4">
        <v>14</v>
      </c>
      <c r="B18" s="10" t="s">
        <v>48</v>
      </c>
      <c r="C18" s="3"/>
    </row>
    <row r="19" spans="1:3" x14ac:dyDescent="0.25">
      <c r="A19" s="4">
        <v>15</v>
      </c>
      <c r="B19" s="10" t="s">
        <v>45</v>
      </c>
      <c r="C19" s="3"/>
    </row>
    <row r="20" spans="1:3" x14ac:dyDescent="0.25">
      <c r="A20" s="4">
        <v>16</v>
      </c>
      <c r="B20" s="10" t="s">
        <v>55</v>
      </c>
      <c r="C20" s="3"/>
    </row>
    <row r="21" spans="1:3" x14ac:dyDescent="0.25">
      <c r="A21" s="4">
        <v>17</v>
      </c>
      <c r="B21" s="10" t="s">
        <v>42</v>
      </c>
      <c r="C21" s="3"/>
    </row>
    <row r="22" spans="1:3" x14ac:dyDescent="0.25">
      <c r="A22" s="4">
        <v>18</v>
      </c>
      <c r="B22" s="9" t="s">
        <v>32</v>
      </c>
      <c r="C22" s="3"/>
    </row>
    <row r="23" spans="1:3" x14ac:dyDescent="0.25">
      <c r="A23" s="4">
        <v>19</v>
      </c>
      <c r="B23" s="10" t="s">
        <v>54</v>
      </c>
      <c r="C23" s="3"/>
    </row>
    <row r="24" spans="1:3" x14ac:dyDescent="0.25">
      <c r="A24" s="4">
        <v>20</v>
      </c>
      <c r="B24" s="10" t="s">
        <v>35</v>
      </c>
      <c r="C24" s="3"/>
    </row>
    <row r="25" spans="1:3" x14ac:dyDescent="0.25">
      <c r="A25" s="4">
        <v>21</v>
      </c>
      <c r="B25" s="10" t="s">
        <v>41</v>
      </c>
      <c r="C25" s="3"/>
    </row>
    <row r="26" spans="1:3" x14ac:dyDescent="0.25">
      <c r="A26" s="4">
        <v>22</v>
      </c>
      <c r="B26" s="10" t="s">
        <v>44</v>
      </c>
      <c r="C26" s="3"/>
    </row>
    <row r="27" spans="1:3" x14ac:dyDescent="0.25">
      <c r="A27" s="4">
        <v>23</v>
      </c>
      <c r="B27" s="9" t="s">
        <v>31</v>
      </c>
      <c r="C27" s="3"/>
    </row>
    <row r="28" spans="1:3" x14ac:dyDescent="0.25">
      <c r="A28" s="4">
        <v>24</v>
      </c>
      <c r="B28" s="8" t="s">
        <v>49</v>
      </c>
      <c r="C28" s="3"/>
    </row>
    <row r="29" spans="1:3" x14ac:dyDescent="0.25">
      <c r="A29" s="4">
        <v>25</v>
      </c>
      <c r="B29" s="8" t="s">
        <v>50</v>
      </c>
      <c r="C29" s="3"/>
    </row>
    <row r="30" spans="1:3" x14ac:dyDescent="0.25">
      <c r="A30" s="4">
        <v>26</v>
      </c>
      <c r="B30" s="8" t="s">
        <v>51</v>
      </c>
      <c r="C30" s="3"/>
    </row>
    <row r="31" spans="1:3" x14ac:dyDescent="0.25">
      <c r="A31" s="4">
        <v>27</v>
      </c>
      <c r="B31" s="8" t="s">
        <v>52</v>
      </c>
      <c r="C31" s="3"/>
    </row>
    <row r="32" spans="1:3" x14ac:dyDescent="0.25">
      <c r="A32" s="4">
        <v>28</v>
      </c>
      <c r="B32" s="8" t="s">
        <v>53</v>
      </c>
      <c r="C32" s="3"/>
    </row>
    <row r="33" spans="1:3" x14ac:dyDescent="0.25">
      <c r="A33" s="6"/>
    </row>
    <row r="35" spans="1:3" x14ac:dyDescent="0.25">
      <c r="C35" s="6" t="s">
        <v>23</v>
      </c>
    </row>
    <row r="36" spans="1:3" x14ac:dyDescent="0.25">
      <c r="C36" s="6"/>
    </row>
    <row r="37" spans="1:3" x14ac:dyDescent="0.25">
      <c r="C37" s="6"/>
    </row>
    <row r="38" spans="1:3" x14ac:dyDescent="0.25">
      <c r="C38" s="6"/>
    </row>
    <row r="39" spans="1:3" x14ac:dyDescent="0.25">
      <c r="C39" s="7" t="s">
        <v>24</v>
      </c>
    </row>
    <row r="40" spans="1:3" x14ac:dyDescent="0.25">
      <c r="C40" s="6" t="s">
        <v>29</v>
      </c>
    </row>
  </sheetData>
  <sortState ref="B5:B31">
    <sortCondition ref="B7"/>
  </sortState>
  <mergeCells count="2">
    <mergeCell ref="A1:C1"/>
    <mergeCell ref="A2:C2"/>
  </mergeCells>
  <pageMargins left="1.47" right="0.7" top="0.75" bottom="0.75" header="0.3" footer="0.3"/>
  <pageSetup paperSize="30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LOGBOOK</vt:lpstr>
      <vt:lpstr>Data Perawat</vt:lpstr>
      <vt:lpstr>JAN </vt:lpstr>
      <vt:lpstr>FEB</vt:lpstr>
      <vt:lpstr>MAR</vt:lpstr>
      <vt:lpstr>APR</vt:lpstr>
      <vt:lpstr>MEI</vt:lpstr>
      <vt:lpstr>JUN</vt:lpstr>
      <vt:lpstr>JUL</vt:lpstr>
      <vt:lpstr>AGST</vt:lpstr>
      <vt:lpstr>SEP</vt:lpstr>
      <vt:lpstr>OKT</vt:lpstr>
      <vt:lpstr>NOV</vt:lpstr>
      <vt:lpstr>DES</vt:lpstr>
      <vt:lpstr>TAHUNAN</vt:lpstr>
      <vt:lpstr>PENILAIAN  TAHUNAN</vt:lpstr>
      <vt:lpstr>3</vt:lpstr>
      <vt:lpstr>AGST!Print_Titles</vt:lpstr>
      <vt:lpstr>APR!Print_Titles</vt:lpstr>
      <vt:lpstr>DES!Print_Titles</vt:lpstr>
      <vt:lpstr>FEB!Print_Titles</vt:lpstr>
      <vt:lpstr>'JAN '!Print_Titles</vt:lpstr>
      <vt:lpstr>JUL!Print_Titles</vt:lpstr>
      <vt:lpstr>JUN!Print_Titles</vt:lpstr>
      <vt:lpstr>LOGBOOK!Print_Titles</vt:lpstr>
      <vt:lpstr>MAR!Print_Titles</vt:lpstr>
      <vt:lpstr>MEI!Print_Titles</vt:lpstr>
      <vt:lpstr>NOV!Print_Titles</vt:lpstr>
      <vt:lpstr>OKT!Print_Titles</vt:lpstr>
      <vt:lpstr>'PENILAIAN  TAHUNAN'!Print_Titles</vt:lpstr>
      <vt:lpstr>SEP!Print_Titles</vt:lpstr>
      <vt:lpstr>TAHUNAN!Print_Titles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</dc:creator>
  <cp:lastModifiedBy>SAKINA-SDM</cp:lastModifiedBy>
  <cp:lastPrinted>2024-01-08T19:44:35Z</cp:lastPrinted>
  <dcterms:created xsi:type="dcterms:W3CDTF">2022-10-18T04:43:17Z</dcterms:created>
  <dcterms:modified xsi:type="dcterms:W3CDTF">2025-08-14T02:49:25Z</dcterms:modified>
</cp:coreProperties>
</file>