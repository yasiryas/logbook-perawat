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4"/>
  </bookViews>
  <sheets>
    <sheet name="JAN " sheetId="33" r:id="rId1"/>
    <sheet name="FEB" sheetId="14" r:id="rId2"/>
    <sheet name="MART" sheetId="26" r:id="rId3"/>
    <sheet name="APRIL" sheetId="27" r:id="rId4"/>
    <sheet name="MEI" sheetId="28" r:id="rId5"/>
    <sheet name="JUNI" sheetId="32" r:id="rId6"/>
    <sheet name="JULI " sheetId="29" r:id="rId7"/>
    <sheet name="AGUST" sheetId="31" r:id="rId8"/>
    <sheet name="SEPT " sheetId="30" r:id="rId9"/>
    <sheet name="OKT" sheetId="25" r:id="rId10"/>
    <sheet name="NOV" sheetId="24" r:id="rId11"/>
    <sheet name="DES" sheetId="13" r:id="rId12"/>
    <sheet name="TAHUNAN" sheetId="5" r:id="rId13"/>
    <sheet name="PENILAIAN  TAHUNAN" sheetId="23" r:id="rId14"/>
    <sheet name="3" sheetId="4" state="hidden" r:id="rId15"/>
  </sheets>
  <definedNames>
    <definedName name="_xlnm.Print_Titles" localSheetId="7">AGUST!$7:$8</definedName>
    <definedName name="_xlnm.Print_Titles" localSheetId="3">APRIL!$7:$8</definedName>
    <definedName name="_xlnm.Print_Titles" localSheetId="11">DES!$7:$8</definedName>
    <definedName name="_xlnm.Print_Titles" localSheetId="1">FEB!$7:$8</definedName>
    <definedName name="_xlnm.Print_Titles" localSheetId="0">'JAN '!$7:$8</definedName>
    <definedName name="_xlnm.Print_Titles" localSheetId="6">'JULI '!$7:$8</definedName>
    <definedName name="_xlnm.Print_Titles" localSheetId="5">JUNI!$7:$8</definedName>
    <definedName name="_xlnm.Print_Titles" localSheetId="2">MART!$7:$8</definedName>
    <definedName name="_xlnm.Print_Titles" localSheetId="4">MEI!$7:$8</definedName>
    <definedName name="_xlnm.Print_Titles" localSheetId="10">NOV!$7:$8</definedName>
    <definedName name="_xlnm.Print_Titles" localSheetId="9">OKT!$7:$8</definedName>
    <definedName name="_xlnm.Print_Titles" localSheetId="13">'PENILAIAN  TAHUNAN'!$20:$21</definedName>
    <definedName name="_xlnm.Print_Titles" localSheetId="8">'SEPT '!$7:$8</definedName>
    <definedName name="_xlnm.Print_Titles" localSheetId="12">TAHUNAN!$7:$8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<sst xmlns="http://schemas.openxmlformats.org/spreadsheetml/2006/main" count="786" uniqueCount="127">
  <si>
    <t>PENILAIAN KINERJA PERAWAT</t>
  </si>
  <si>
    <t>SESUAI STANDAR AKRIDITASI RUMAH SAKIT</t>
  </si>
  <si>
    <t xml:space="preserve">NAMA                </t>
  </si>
  <si>
    <t>PK</t>
  </si>
  <si>
    <t>:</t>
  </si>
  <si>
    <t>NO</t>
  </si>
  <si>
    <t>INDIKATOR YANG DINILAI</t>
  </si>
  <si>
    <t>TARGET (%)</t>
  </si>
  <si>
    <t>BULAN : JANUARI</t>
  </si>
  <si>
    <t>CAPAIAN (%)</t>
  </si>
  <si>
    <t>RUMUS WAJIB DIISI</t>
  </si>
  <si>
    <t>JUMLAH HARI  :</t>
  </si>
  <si>
    <t>A. PERILAKU ( 40 % )</t>
  </si>
  <si>
    <t>Melaporkan insiden keselamatan pasien</t>
  </si>
  <si>
    <t>Ada keluhan dari teman sejawat/profesi lain/pasien dan keluarga</t>
  </si>
  <si>
    <t>Kepatuhan terhadap kode etik keperawatan</t>
  </si>
  <si>
    <t>JUMLAH RATA - RATA</t>
  </si>
  <si>
    <t>B. PENGEMBANGAN PROFESI (10%)</t>
  </si>
  <si>
    <t xml:space="preserve">Menunjukan perilaku bertanggung gugat terhadap praktek profesional </t>
  </si>
  <si>
    <t>Kepatuhan dalam memberikan pendidikan pasien dan keluarga</t>
  </si>
  <si>
    <t>C. KINERJA KLINIS (50%)</t>
  </si>
  <si>
    <t xml:space="preserve">Pengkajian Pasien </t>
  </si>
  <si>
    <t xml:space="preserve">Menetapkan diagnosa Keperawatan </t>
  </si>
  <si>
    <t xml:space="preserve">Menyusun rencana keperawatan </t>
  </si>
  <si>
    <t xml:space="preserve">Melakukan tindakan keperawatan </t>
  </si>
  <si>
    <t xml:space="preserve">Melakukan dokumentasi keperawatan </t>
  </si>
  <si>
    <t>Kepatuhan identifikasi pasien</t>
  </si>
  <si>
    <t>Kepatuhan pemakaian APD dengan benar</t>
  </si>
  <si>
    <t>Kepatuhan kebersihan tangan</t>
  </si>
  <si>
    <t>Kepatuhan upaya pencegahan resiko pasien jatuh</t>
  </si>
  <si>
    <t>Kepatuhan melaksanakan hand over antar petugas dengan metode SBAR</t>
  </si>
  <si>
    <t>Kepatuhan melaksanakan double chek obat high allert</t>
  </si>
  <si>
    <t>Kemampuan menangani life saving anak dan dewasa</t>
  </si>
  <si>
    <t>RESPON Time / kecepatan pelayanan di Gawat Darurat</t>
  </si>
  <si>
    <t>TOTAL NILAI PERILAKU + PENGEMBANGAN PROFESI + KINERJA KLINIS</t>
  </si>
  <si>
    <t>BULAN : FEBRUARI</t>
  </si>
  <si>
    <t>Tidak ada keluhan dari teman sejawat/profesi lain/pasien dan keluarga</t>
  </si>
  <si>
    <t>Kepatuhan dalam memberikan pendidikan pasien dan keluarga (Edukasi)</t>
  </si>
  <si>
    <t>Kemampuan menangani life saving anak / dewasa</t>
  </si>
  <si>
    <t>BULAN : MARET</t>
  </si>
  <si>
    <t xml:space="preserve">AYSAH LUTFI NURAZIZAH </t>
  </si>
  <si>
    <t>PELAKSANA/PK 1</t>
  </si>
  <si>
    <t>BULAN : APRIL</t>
  </si>
  <si>
    <t>BULAN : MEI</t>
  </si>
  <si>
    <t>L</t>
  </si>
  <si>
    <t>BULAN : JUNI</t>
  </si>
  <si>
    <t>BULAN : JULI</t>
  </si>
  <si>
    <t>BULAN : AGUSTUS</t>
  </si>
  <si>
    <t>.</t>
  </si>
  <si>
    <t>BULAN : SEPTEMBER</t>
  </si>
  <si>
    <t>BULAN : OKTOBER</t>
  </si>
  <si>
    <t xml:space="preserve">BULAN : NOVEMBER </t>
  </si>
  <si>
    <t>BULAN : DESEMBER</t>
  </si>
  <si>
    <t xml:space="preserve">SESUAI STANDAR AKRIDITASI RUMAH SAKIT </t>
  </si>
  <si>
    <t>TAHUN 2023</t>
  </si>
  <si>
    <t>RATA - RATA CAPAIAN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</si>
  <si>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</si>
  <si>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</si>
  <si>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</si>
  <si>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</si>
  <si>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</si>
  <si>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</si>
  <si>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</si>
  <si>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</si>
  <si>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</si>
  <si>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</si>
  <si>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</si>
  <si>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</si>
  <si>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PROFESI PERAWAT</t>
  </si>
  <si>
    <t>NAMA PEGAWAI YANG DINILAI</t>
  </si>
  <si>
    <t>NIP</t>
  </si>
  <si>
    <t xml:space="preserve">JABATAN          </t>
  </si>
  <si>
    <t xml:space="preserve">: PERAWAT </t>
  </si>
  <si>
    <t>UNIT KERJA</t>
  </si>
  <si>
    <t>PENILAI</t>
  </si>
  <si>
    <t>NAMA</t>
  </si>
  <si>
    <t xml:space="preserve">: Kepala Ruang </t>
  </si>
  <si>
    <t>ATASAN PEJABAT PENILAI</t>
  </si>
  <si>
    <t xml:space="preserve">: KABID KEPERAWATAN				</t>
  </si>
  <si>
    <t>: BIDANG KEPERAWATAN</t>
  </si>
  <si>
    <t>TARGET</t>
  </si>
  <si>
    <t>CAPAIAN</t>
  </si>
  <si>
    <t>BOBOT (%)</t>
  </si>
  <si>
    <t>NILAI HASIL KINERJA</t>
  </si>
  <si>
    <t>C. KINERJA KLINIS (50%) (DISESUAIKAN DENGAN RUANG MASING2)</t>
  </si>
  <si>
    <t>&gt;85</t>
  </si>
  <si>
    <t>&lt;5 mnt</t>
  </si>
  <si>
    <t xml:space="preserve">KEPALA RUANG </t>
  </si>
  <si>
    <t>PEGAWAI YANG DIEVALUASI</t>
  </si>
  <si>
    <t>………………………………………………………….</t>
  </si>
  <si>
    <t>……………..</t>
  </si>
  <si>
    <t>MENGETAHUI</t>
  </si>
  <si>
    <t>KEPALA BIDANG KEPERAWATAN</t>
  </si>
  <si>
    <t xml:space="preserve">CAPAIAN PENGEMBANGAN PROFESI PETUGAS IGD </t>
  </si>
  <si>
    <t>PERIODE JANUARI SAMPAI DENGAN JUNI 2022</t>
  </si>
  <si>
    <t xml:space="preserve">NAMA PETUGAS </t>
  </si>
  <si>
    <t>JUMLAH PELATIHAN YANG DIIKUTI</t>
  </si>
  <si>
    <t>A. AYU CAHYANINGTYAS, S. Kep, Ns</t>
  </si>
  <si>
    <t>AGUNG DWI JAYANTO, Amd.Kep</t>
  </si>
  <si>
    <t xml:space="preserve">AGUS FIRMANSYAH, Amd.Kep </t>
  </si>
  <si>
    <t xml:space="preserve">AHMAD NURDIN, S.Kep. Ns. </t>
  </si>
  <si>
    <t xml:space="preserve">AJIB, AMK </t>
  </si>
  <si>
    <t>ALI ASRORI, AMK</t>
  </si>
  <si>
    <t>ANDI FEBRIANTORO, Amd. Kep</t>
  </si>
  <si>
    <t>ARI SODIQ FAUZAN</t>
  </si>
  <si>
    <t>BAYU ISDIANTO, AMd.Kep</t>
  </si>
  <si>
    <t>DEKA NOVENDA S., AMd.Kep</t>
  </si>
  <si>
    <t xml:space="preserve">ENI WIDIASTUTI, AMK </t>
  </si>
  <si>
    <t>EVA BALGIST RIZAMI, AMd. Kep</t>
  </si>
  <si>
    <t>HADI SISWANTO</t>
  </si>
  <si>
    <t>IQLIMA NUR HAMIDA, Amd.Kep</t>
  </si>
  <si>
    <t xml:space="preserve">ISTIN YULIA SUSANA, AMd. Kep </t>
  </si>
  <si>
    <t>JOKO IVNU SANTOSO</t>
  </si>
  <si>
    <t>MAKMUN WICAKSONO, S.Tr.Kep,Ns</t>
  </si>
  <si>
    <t>Ns.TULUS GATOT WIDODO,S.Kep</t>
  </si>
  <si>
    <t>PRIHANDINI WIRANINGTYAS</t>
  </si>
  <si>
    <t>PUSPITA ROSIANA D., AMd. Kep</t>
  </si>
  <si>
    <t>QUNIK ZULFA IMAROH, AMd. Kep</t>
  </si>
  <si>
    <t>WAHYU NUR INDAHSAH, S.Kep,Ns</t>
  </si>
  <si>
    <t>WIJI UTAMI, S.Kep,Ns</t>
  </si>
  <si>
    <t>MIRANTI HP.,SST</t>
  </si>
  <si>
    <t>DEVITA, Amd.Keb</t>
  </si>
  <si>
    <t>SUYANAH, SST</t>
  </si>
  <si>
    <t>IIS DIANA SARI, A.Md. Keb</t>
  </si>
  <si>
    <t>SITI DJUWARIYAH, A.Md Keb</t>
  </si>
  <si>
    <t>WINARTI PANGREH UTAMI, S.Kep.Ns</t>
  </si>
  <si>
    <t xml:space="preserve">NIP. 19710125 199603 2 002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</si>
</sst>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3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u/>
      <sz val="12"/>
      <color theme="1"/>
      <name val="Arial"/>
      <charset val="134"/>
    </font>
    <font>
      <b/>
      <sz val="14"/>
      <color theme="1"/>
      <name val="Arial"/>
      <charset val="134"/>
    </font>
    <font>
      <b/>
      <sz val="14"/>
      <color indexed="8"/>
      <name val="Arial"/>
      <charset val="134"/>
    </font>
    <font>
      <b/>
      <sz val="18"/>
      <color theme="1"/>
      <name val="Arial"/>
      <charset val="134"/>
    </font>
    <font>
      <sz val="12"/>
      <color theme="1"/>
      <name val="Arial Black"/>
      <charset val="134"/>
    </font>
    <font>
      <b/>
      <sz val="12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1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7" borderId="21" applyNumberFormat="0" applyAlignment="0" applyProtection="0">
      <alignment vertical="center"/>
    </xf>
    <xf numFmtId="0" fontId="23" fillId="8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0" borderId="1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49" applyFont="1" applyAlignment="1">
      <alignment horizontal="center" vertical="center"/>
    </xf>
    <xf numFmtId="0" fontId="4" fillId="0" borderId="0" xfId="49" applyFont="1" applyAlignment="1">
      <alignment horizontal="left"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left" vertical="center"/>
    </xf>
    <xf numFmtId="0" fontId="4" fillId="0" borderId="0" xfId="49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0" borderId="1" xfId="49" applyFont="1" applyBorder="1" applyAlignment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left" vertical="center" wrapText="1"/>
      <protection locked="0"/>
    </xf>
    <xf numFmtId="2" fontId="4" fillId="0" borderId="1" xfId="0" applyNumberFormat="1" applyFont="1" applyBorder="1" applyAlignment="1">
      <alignment horizontal="center" vertical="center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left" vertical="center" indent="1"/>
    </xf>
    <xf numFmtId="2" fontId="5" fillId="0" borderId="6" xfId="0" applyNumberFormat="1" applyFont="1" applyBorder="1" applyAlignment="1">
      <alignment horizontal="center" vertical="center"/>
    </xf>
    <xf numFmtId="0" fontId="4" fillId="0" borderId="0" xfId="49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4" borderId="8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9" fillId="4" borderId="11" xfId="0" applyFont="1" applyFill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/>
    </xf>
    <xf numFmtId="2" fontId="4" fillId="0" borderId="1" xfId="0" applyNumberFormat="1" applyFont="1" applyBorder="1"/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1" fillId="4" borderId="8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/>
    <xf numFmtId="2" fontId="10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2" fontId="4" fillId="0" borderId="7" xfId="0" applyNumberFormat="1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33"/>
  <sheetViews>
    <sheetView zoomScale="40" zoomScaleNormal="40" topLeftCell="A8" workbookViewId="0">
      <selection activeCell="AL7" sqref="AL7:AM33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8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>
        <v>0</v>
      </c>
      <c r="G10" s="64"/>
      <c r="H10" s="64"/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/>
      <c r="O10" s="64"/>
      <c r="P10" s="64">
        <v>0</v>
      </c>
      <c r="Q10" s="64">
        <v>0</v>
      </c>
      <c r="R10" s="64">
        <v>0</v>
      </c>
      <c r="S10" s="64"/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>
        <v>0</v>
      </c>
      <c r="AC10" s="64">
        <v>0</v>
      </c>
      <c r="AD10" s="64">
        <v>0</v>
      </c>
      <c r="AE10" s="64"/>
      <c r="AF10" s="64">
        <v>0</v>
      </c>
      <c r="AG10" s="64"/>
      <c r="AH10" s="64">
        <v>0</v>
      </c>
      <c r="AI10" s="64">
        <v>0</v>
      </c>
      <c r="AJ10" s="65">
        <f>SUM(E10:AI10)/AM8*40/100</f>
        <v>0</v>
      </c>
      <c r="AM10" s="82">
        <f t="shared" ref="AM10:AM33" si="0">AM9</f>
        <v>28</v>
      </c>
    </row>
    <row r="11" ht="34.5" customHeight="1" spans="1:39">
      <c r="A11" s="31">
        <v>2</v>
      </c>
      <c r="B11" s="83" t="s">
        <v>14</v>
      </c>
      <c r="C11" s="83"/>
      <c r="D11" s="81">
        <v>100</v>
      </c>
      <c r="E11" s="64">
        <v>0</v>
      </c>
      <c r="F11" s="64">
        <v>0</v>
      </c>
      <c r="G11" s="64"/>
      <c r="H11" s="64"/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/>
      <c r="O11" s="64"/>
      <c r="P11" s="64">
        <v>0</v>
      </c>
      <c r="Q11" s="64">
        <v>0</v>
      </c>
      <c r="R11" s="64">
        <v>0</v>
      </c>
      <c r="S11" s="64"/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>
        <v>0</v>
      </c>
      <c r="AC11" s="64">
        <v>0</v>
      </c>
      <c r="AD11" s="64">
        <v>0</v>
      </c>
      <c r="AE11" s="64"/>
      <c r="AF11" s="64">
        <v>0</v>
      </c>
      <c r="AG11" s="64"/>
      <c r="AH11" s="64">
        <v>0</v>
      </c>
      <c r="AI11" s="64">
        <v>0</v>
      </c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2</v>
      </c>
      <c r="F12" s="64">
        <v>3</v>
      </c>
      <c r="G12" s="64"/>
      <c r="H12" s="64"/>
      <c r="I12" s="64">
        <v>4</v>
      </c>
      <c r="J12" s="64">
        <v>3</v>
      </c>
      <c r="K12" s="64">
        <v>2</v>
      </c>
      <c r="L12" s="64">
        <v>4</v>
      </c>
      <c r="M12" s="64">
        <v>3</v>
      </c>
      <c r="N12" s="64"/>
      <c r="O12" s="64"/>
      <c r="P12" s="64">
        <v>5</v>
      </c>
      <c r="Q12" s="64">
        <v>5</v>
      </c>
      <c r="R12" s="64">
        <v>5</v>
      </c>
      <c r="S12" s="64"/>
      <c r="T12" s="64">
        <v>2</v>
      </c>
      <c r="U12" s="64">
        <v>2</v>
      </c>
      <c r="V12" s="64">
        <v>3</v>
      </c>
      <c r="W12" s="64">
        <v>5</v>
      </c>
      <c r="X12" s="64">
        <v>3</v>
      </c>
      <c r="Y12" s="64">
        <v>4</v>
      </c>
      <c r="Z12" s="64"/>
      <c r="AA12" s="64"/>
      <c r="AB12" s="64">
        <v>3</v>
      </c>
      <c r="AC12" s="64">
        <v>3</v>
      </c>
      <c r="AD12" s="64">
        <v>3</v>
      </c>
      <c r="AE12" s="64"/>
      <c r="AF12" s="64">
        <v>3</v>
      </c>
      <c r="AG12" s="64"/>
      <c r="AH12" s="64">
        <v>4</v>
      </c>
      <c r="AI12" s="64">
        <v>5</v>
      </c>
      <c r="AJ12" s="65">
        <f t="shared" si="1"/>
        <v>1.08571428571429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0.666666666666667</v>
      </c>
      <c r="F13" s="34">
        <f t="shared" ref="F13:AJ13" si="2">SUM(F10:F12)/3</f>
        <v>1</v>
      </c>
      <c r="G13" s="34">
        <f t="shared" si="2"/>
        <v>0</v>
      </c>
      <c r="H13" s="34">
        <f t="shared" si="2"/>
        <v>0</v>
      </c>
      <c r="I13" s="34">
        <f t="shared" si="2"/>
        <v>1.33333333333333</v>
      </c>
      <c r="J13" s="34">
        <f t="shared" si="2"/>
        <v>1</v>
      </c>
      <c r="K13" s="34">
        <f t="shared" si="2"/>
        <v>0.666666666666667</v>
      </c>
      <c r="L13" s="34">
        <f t="shared" si="2"/>
        <v>1.33333333333333</v>
      </c>
      <c r="M13" s="34">
        <f t="shared" si="2"/>
        <v>1</v>
      </c>
      <c r="N13" s="34">
        <f t="shared" si="2"/>
        <v>0</v>
      </c>
      <c r="O13" s="34">
        <f t="shared" si="2"/>
        <v>0</v>
      </c>
      <c r="P13" s="34">
        <f t="shared" si="2"/>
        <v>1.66666666666667</v>
      </c>
      <c r="Q13" s="34">
        <f t="shared" si="2"/>
        <v>1.66666666666667</v>
      </c>
      <c r="R13" s="34">
        <f t="shared" si="2"/>
        <v>1.66666666666667</v>
      </c>
      <c r="S13" s="34">
        <v>0</v>
      </c>
      <c r="T13" s="34">
        <f t="shared" si="2"/>
        <v>0.666666666666667</v>
      </c>
      <c r="U13" s="34">
        <f t="shared" si="2"/>
        <v>0.666666666666667</v>
      </c>
      <c r="V13" s="34">
        <f t="shared" si="2"/>
        <v>1</v>
      </c>
      <c r="W13" s="34">
        <f t="shared" si="2"/>
        <v>1.66666666666667</v>
      </c>
      <c r="X13" s="34">
        <f t="shared" si="2"/>
        <v>1</v>
      </c>
      <c r="Y13" s="34">
        <f t="shared" si="2"/>
        <v>1.33333333333333</v>
      </c>
      <c r="Z13" s="34">
        <f t="shared" si="2"/>
        <v>0</v>
      </c>
      <c r="AA13" s="34">
        <f t="shared" si="2"/>
        <v>0</v>
      </c>
      <c r="AB13" s="34">
        <f t="shared" si="2"/>
        <v>1</v>
      </c>
      <c r="AC13" s="34">
        <f t="shared" si="2"/>
        <v>1</v>
      </c>
      <c r="AD13" s="34">
        <f t="shared" si="2"/>
        <v>1</v>
      </c>
      <c r="AE13" s="34">
        <f t="shared" si="2"/>
        <v>0</v>
      </c>
      <c r="AF13" s="34">
        <f t="shared" si="2"/>
        <v>1</v>
      </c>
      <c r="AG13" s="34">
        <f t="shared" si="2"/>
        <v>0</v>
      </c>
      <c r="AH13" s="34">
        <f t="shared" si="2"/>
        <v>1.33333333333333</v>
      </c>
      <c r="AI13" s="34">
        <f t="shared" si="2"/>
        <v>1.66666666666667</v>
      </c>
      <c r="AJ13" s="42">
        <f t="shared" si="2"/>
        <v>0.361904761904762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2</v>
      </c>
      <c r="F15" s="64">
        <v>3</v>
      </c>
      <c r="G15" s="64"/>
      <c r="H15" s="64"/>
      <c r="I15" s="64">
        <v>4</v>
      </c>
      <c r="J15" s="64">
        <v>3</v>
      </c>
      <c r="K15" s="64">
        <v>2</v>
      </c>
      <c r="L15" s="64">
        <v>4</v>
      </c>
      <c r="M15" s="64">
        <v>3</v>
      </c>
      <c r="N15" s="64"/>
      <c r="O15" s="64"/>
      <c r="P15" s="64">
        <v>5</v>
      </c>
      <c r="Q15" s="64">
        <v>5</v>
      </c>
      <c r="R15" s="64">
        <v>5</v>
      </c>
      <c r="S15" s="64"/>
      <c r="T15" s="64">
        <v>2</v>
      </c>
      <c r="U15" s="64">
        <v>2</v>
      </c>
      <c r="V15" s="64">
        <v>3</v>
      </c>
      <c r="W15" s="64">
        <v>5</v>
      </c>
      <c r="X15" s="64">
        <v>3</v>
      </c>
      <c r="Y15" s="64">
        <v>4</v>
      </c>
      <c r="Z15" s="64"/>
      <c r="AA15" s="64"/>
      <c r="AB15" s="64">
        <v>3</v>
      </c>
      <c r="AC15" s="64">
        <v>3</v>
      </c>
      <c r="AD15" s="64">
        <v>3</v>
      </c>
      <c r="AE15" s="64"/>
      <c r="AF15" s="64">
        <v>3</v>
      </c>
      <c r="AG15" s="64"/>
      <c r="AH15" s="64">
        <v>4</v>
      </c>
      <c r="AI15" s="64">
        <v>5</v>
      </c>
      <c r="AJ15" s="65">
        <f>SUM(E15:AI15)/AM15*10/100</f>
        <v>0.271428571428571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>
        <v>2</v>
      </c>
      <c r="F16" s="64">
        <v>3</v>
      </c>
      <c r="G16" s="64"/>
      <c r="H16" s="64"/>
      <c r="I16" s="64">
        <v>4</v>
      </c>
      <c r="J16" s="64">
        <v>3</v>
      </c>
      <c r="K16" s="64">
        <v>2</v>
      </c>
      <c r="L16" s="64">
        <v>4</v>
      </c>
      <c r="M16" s="64">
        <v>3</v>
      </c>
      <c r="N16" s="64"/>
      <c r="O16" s="64"/>
      <c r="P16" s="64">
        <v>5</v>
      </c>
      <c r="Q16" s="64">
        <v>5</v>
      </c>
      <c r="R16" s="64">
        <v>5</v>
      </c>
      <c r="S16" s="64"/>
      <c r="T16" s="64">
        <v>2</v>
      </c>
      <c r="U16" s="64">
        <v>2</v>
      </c>
      <c r="V16" s="64">
        <v>3</v>
      </c>
      <c r="W16" s="64">
        <v>5</v>
      </c>
      <c r="X16" s="64">
        <v>3</v>
      </c>
      <c r="Y16" s="64">
        <v>4</v>
      </c>
      <c r="Z16" s="64"/>
      <c r="AA16" s="64"/>
      <c r="AB16" s="64">
        <v>3</v>
      </c>
      <c r="AC16" s="64">
        <v>3</v>
      </c>
      <c r="AD16" s="64">
        <v>3</v>
      </c>
      <c r="AE16" s="64"/>
      <c r="AF16" s="64">
        <v>3</v>
      </c>
      <c r="AG16" s="64"/>
      <c r="AH16" s="64">
        <v>4</v>
      </c>
      <c r="AI16" s="64">
        <v>5</v>
      </c>
      <c r="AJ16" s="65">
        <f t="shared" ref="AJ16" si="3">SUM(E16:AI16)/AM16*10/100</f>
        <v>0.271428571428571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1.33333333333333</v>
      </c>
      <c r="F17" s="34">
        <f t="shared" si="4"/>
        <v>2</v>
      </c>
      <c r="G17" s="34">
        <f t="shared" si="4"/>
        <v>0</v>
      </c>
      <c r="H17" s="34">
        <f t="shared" si="4"/>
        <v>0</v>
      </c>
      <c r="I17" s="34">
        <f t="shared" si="4"/>
        <v>2.66666666666667</v>
      </c>
      <c r="J17" s="34">
        <f t="shared" si="4"/>
        <v>2</v>
      </c>
      <c r="K17" s="34">
        <f t="shared" si="4"/>
        <v>1.33333333333333</v>
      </c>
      <c r="L17" s="34">
        <f t="shared" si="4"/>
        <v>2.66666666666667</v>
      </c>
      <c r="M17" s="34">
        <f t="shared" si="4"/>
        <v>2</v>
      </c>
      <c r="N17" s="34">
        <f t="shared" si="4"/>
        <v>0</v>
      </c>
      <c r="O17" s="34">
        <f t="shared" si="4"/>
        <v>0</v>
      </c>
      <c r="P17" s="34">
        <f t="shared" si="4"/>
        <v>3.33333333333333</v>
      </c>
      <c r="Q17" s="34">
        <f t="shared" si="4"/>
        <v>3.33333333333333</v>
      </c>
      <c r="R17" s="34">
        <f t="shared" si="4"/>
        <v>3.33333333333333</v>
      </c>
      <c r="S17" s="34">
        <f t="shared" si="4"/>
        <v>0</v>
      </c>
      <c r="T17" s="34">
        <f t="shared" si="4"/>
        <v>1.33333333333333</v>
      </c>
      <c r="U17" s="34">
        <f t="shared" si="4"/>
        <v>1.33333333333333</v>
      </c>
      <c r="V17" s="34">
        <f t="shared" si="4"/>
        <v>2</v>
      </c>
      <c r="W17" s="34">
        <f t="shared" si="4"/>
        <v>3.33333333333333</v>
      </c>
      <c r="X17" s="34">
        <f t="shared" si="4"/>
        <v>2</v>
      </c>
      <c r="Y17" s="34">
        <f t="shared" si="4"/>
        <v>2.66666666666667</v>
      </c>
      <c r="Z17" s="34">
        <f t="shared" si="4"/>
        <v>0</v>
      </c>
      <c r="AA17" s="34">
        <f t="shared" si="4"/>
        <v>0</v>
      </c>
      <c r="AB17" s="34">
        <f t="shared" si="4"/>
        <v>2</v>
      </c>
      <c r="AC17" s="34">
        <f t="shared" si="4"/>
        <v>2</v>
      </c>
      <c r="AD17" s="34">
        <f t="shared" si="4"/>
        <v>2</v>
      </c>
      <c r="AE17" s="34">
        <f t="shared" si="4"/>
        <v>0</v>
      </c>
      <c r="AF17" s="34">
        <f t="shared" si="4"/>
        <v>2</v>
      </c>
      <c r="AG17" s="34">
        <f t="shared" si="4"/>
        <v>0</v>
      </c>
      <c r="AH17" s="34">
        <f t="shared" si="4"/>
        <v>2.66666666666667</v>
      </c>
      <c r="AI17" s="34">
        <f t="shared" si="4"/>
        <v>3.33333333333333</v>
      </c>
      <c r="AJ17" s="42">
        <f t="shared" si="4"/>
        <v>0.180952380952381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102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>AM17</f>
        <v>#REF!</v>
      </c>
    </row>
    <row r="19" ht="21.75" customHeight="1" spans="1:39">
      <c r="A19" s="61">
        <v>1</v>
      </c>
      <c r="B19" s="103" t="s">
        <v>21</v>
      </c>
      <c r="C19" s="77"/>
      <c r="D19" s="104">
        <v>100</v>
      </c>
      <c r="E19" s="105">
        <v>2</v>
      </c>
      <c r="F19" s="105">
        <v>3</v>
      </c>
      <c r="G19" s="105"/>
      <c r="H19" s="105"/>
      <c r="I19" s="105">
        <v>4</v>
      </c>
      <c r="J19" s="105">
        <v>3</v>
      </c>
      <c r="K19" s="105">
        <v>2</v>
      </c>
      <c r="L19" s="105">
        <v>4</v>
      </c>
      <c r="M19" s="105">
        <v>3</v>
      </c>
      <c r="N19" s="105"/>
      <c r="O19" s="105"/>
      <c r="P19" s="105">
        <v>5</v>
      </c>
      <c r="Q19" s="105">
        <v>5</v>
      </c>
      <c r="R19" s="105">
        <v>5</v>
      </c>
      <c r="S19" s="105"/>
      <c r="T19" s="105">
        <v>2</v>
      </c>
      <c r="U19" s="105">
        <v>2</v>
      </c>
      <c r="V19" s="105">
        <v>3</v>
      </c>
      <c r="W19" s="105">
        <v>5</v>
      </c>
      <c r="X19" s="105">
        <v>3</v>
      </c>
      <c r="Y19" s="105">
        <v>4</v>
      </c>
      <c r="Z19" s="105"/>
      <c r="AA19" s="105"/>
      <c r="AB19" s="105">
        <v>3</v>
      </c>
      <c r="AC19" s="105">
        <v>3</v>
      </c>
      <c r="AD19" s="105">
        <v>3</v>
      </c>
      <c r="AE19" s="105"/>
      <c r="AF19" s="105">
        <v>3</v>
      </c>
      <c r="AG19" s="105"/>
      <c r="AH19" s="105">
        <v>4</v>
      </c>
      <c r="AI19" s="106">
        <v>5</v>
      </c>
      <c r="AJ19" s="107"/>
      <c r="AM19" s="82"/>
    </row>
    <row r="20" ht="21.75" customHeight="1" spans="1:39">
      <c r="A20" s="61">
        <v>2</v>
      </c>
      <c r="B20" s="103" t="s">
        <v>22</v>
      </c>
      <c r="C20" s="77"/>
      <c r="D20" s="104">
        <v>100</v>
      </c>
      <c r="E20" s="105">
        <v>2</v>
      </c>
      <c r="F20" s="105">
        <v>3</v>
      </c>
      <c r="G20" s="105"/>
      <c r="H20" s="105"/>
      <c r="I20" s="105">
        <v>4</v>
      </c>
      <c r="J20" s="105">
        <v>3</v>
      </c>
      <c r="K20" s="105">
        <v>2</v>
      </c>
      <c r="L20" s="105">
        <v>4</v>
      </c>
      <c r="M20" s="105">
        <v>3</v>
      </c>
      <c r="N20" s="105"/>
      <c r="O20" s="105"/>
      <c r="P20" s="105">
        <v>5</v>
      </c>
      <c r="Q20" s="105">
        <v>5</v>
      </c>
      <c r="R20" s="105">
        <v>5</v>
      </c>
      <c r="S20" s="105"/>
      <c r="T20" s="105">
        <v>2</v>
      </c>
      <c r="U20" s="105">
        <v>2</v>
      </c>
      <c r="V20" s="105">
        <v>3</v>
      </c>
      <c r="W20" s="105">
        <v>5</v>
      </c>
      <c r="X20" s="105">
        <v>3</v>
      </c>
      <c r="Y20" s="105">
        <v>4</v>
      </c>
      <c r="Z20" s="105"/>
      <c r="AA20" s="105"/>
      <c r="AB20" s="105">
        <v>3</v>
      </c>
      <c r="AC20" s="105">
        <v>3</v>
      </c>
      <c r="AD20" s="105">
        <v>3</v>
      </c>
      <c r="AE20" s="105"/>
      <c r="AF20" s="105">
        <v>3</v>
      </c>
      <c r="AG20" s="105"/>
      <c r="AH20" s="105">
        <v>4</v>
      </c>
      <c r="AI20" s="106">
        <v>5</v>
      </c>
      <c r="AJ20" s="107"/>
      <c r="AM20" s="82"/>
    </row>
    <row r="21" ht="21.75" customHeight="1" spans="1:39">
      <c r="A21" s="61">
        <v>3</v>
      </c>
      <c r="B21" s="103" t="s">
        <v>23</v>
      </c>
      <c r="C21" s="77"/>
      <c r="D21" s="104">
        <v>100</v>
      </c>
      <c r="E21" s="105">
        <v>2</v>
      </c>
      <c r="F21" s="105">
        <v>3</v>
      </c>
      <c r="G21" s="105"/>
      <c r="H21" s="105"/>
      <c r="I21" s="105">
        <v>4</v>
      </c>
      <c r="J21" s="105">
        <v>3</v>
      </c>
      <c r="K21" s="105">
        <v>2</v>
      </c>
      <c r="L21" s="105">
        <v>4</v>
      </c>
      <c r="M21" s="105">
        <v>3</v>
      </c>
      <c r="N21" s="105"/>
      <c r="O21" s="105"/>
      <c r="P21" s="105">
        <v>5</v>
      </c>
      <c r="Q21" s="105">
        <v>5</v>
      </c>
      <c r="R21" s="105">
        <v>5</v>
      </c>
      <c r="S21" s="105"/>
      <c r="T21" s="105">
        <v>2</v>
      </c>
      <c r="U21" s="105">
        <v>2</v>
      </c>
      <c r="V21" s="105">
        <v>3</v>
      </c>
      <c r="W21" s="105">
        <v>5</v>
      </c>
      <c r="X21" s="105">
        <v>3</v>
      </c>
      <c r="Y21" s="105">
        <v>4</v>
      </c>
      <c r="Z21" s="105"/>
      <c r="AA21" s="105"/>
      <c r="AB21" s="105">
        <v>3</v>
      </c>
      <c r="AC21" s="105">
        <v>3</v>
      </c>
      <c r="AD21" s="105">
        <v>3</v>
      </c>
      <c r="AE21" s="105"/>
      <c r="AF21" s="105">
        <v>3</v>
      </c>
      <c r="AG21" s="105"/>
      <c r="AH21" s="105">
        <v>4</v>
      </c>
      <c r="AI21" s="106">
        <v>5</v>
      </c>
      <c r="AJ21" s="107"/>
      <c r="AM21" s="82"/>
    </row>
    <row r="22" ht="21.75" customHeight="1" spans="1:39">
      <c r="A22" s="61">
        <v>4</v>
      </c>
      <c r="B22" s="103" t="s">
        <v>24</v>
      </c>
      <c r="C22" s="77"/>
      <c r="D22" s="104">
        <v>100</v>
      </c>
      <c r="E22" s="105">
        <v>2</v>
      </c>
      <c r="F22" s="105">
        <v>3</v>
      </c>
      <c r="G22" s="105"/>
      <c r="H22" s="105"/>
      <c r="I22" s="105">
        <v>4</v>
      </c>
      <c r="J22" s="105">
        <v>3</v>
      </c>
      <c r="K22" s="105">
        <v>2</v>
      </c>
      <c r="L22" s="105">
        <v>4</v>
      </c>
      <c r="M22" s="105">
        <v>3</v>
      </c>
      <c r="N22" s="105"/>
      <c r="O22" s="105"/>
      <c r="P22" s="105">
        <v>5</v>
      </c>
      <c r="Q22" s="105">
        <v>5</v>
      </c>
      <c r="R22" s="105">
        <v>5</v>
      </c>
      <c r="S22" s="105"/>
      <c r="T22" s="105">
        <v>2</v>
      </c>
      <c r="U22" s="105">
        <v>2</v>
      </c>
      <c r="V22" s="105">
        <v>3</v>
      </c>
      <c r="W22" s="105">
        <v>5</v>
      </c>
      <c r="X22" s="105">
        <v>3</v>
      </c>
      <c r="Y22" s="105">
        <v>4</v>
      </c>
      <c r="Z22" s="105"/>
      <c r="AA22" s="105"/>
      <c r="AB22" s="105">
        <v>3</v>
      </c>
      <c r="AC22" s="105">
        <v>3</v>
      </c>
      <c r="AD22" s="105">
        <v>3</v>
      </c>
      <c r="AE22" s="105"/>
      <c r="AF22" s="105">
        <v>3</v>
      </c>
      <c r="AG22" s="105"/>
      <c r="AH22" s="105">
        <v>4</v>
      </c>
      <c r="AI22" s="106">
        <v>5</v>
      </c>
      <c r="AJ22" s="107"/>
      <c r="AM22" s="82"/>
    </row>
    <row r="23" ht="21.75" customHeight="1" spans="1:39">
      <c r="A23" s="61">
        <v>5</v>
      </c>
      <c r="B23" s="103" t="s">
        <v>25</v>
      </c>
      <c r="C23" s="77"/>
      <c r="D23" s="104">
        <v>100</v>
      </c>
      <c r="E23" s="105">
        <v>2</v>
      </c>
      <c r="F23" s="105">
        <v>3</v>
      </c>
      <c r="G23" s="105"/>
      <c r="H23" s="105"/>
      <c r="I23" s="105">
        <v>4</v>
      </c>
      <c r="J23" s="105">
        <v>3</v>
      </c>
      <c r="K23" s="105">
        <v>2</v>
      </c>
      <c r="L23" s="105">
        <v>4</v>
      </c>
      <c r="M23" s="105">
        <v>3</v>
      </c>
      <c r="N23" s="105"/>
      <c r="O23" s="105"/>
      <c r="P23" s="105">
        <v>5</v>
      </c>
      <c r="Q23" s="105">
        <v>5</v>
      </c>
      <c r="R23" s="105">
        <v>5</v>
      </c>
      <c r="S23" s="105"/>
      <c r="T23" s="105">
        <v>2</v>
      </c>
      <c r="U23" s="105">
        <v>2</v>
      </c>
      <c r="V23" s="105">
        <v>3</v>
      </c>
      <c r="W23" s="105">
        <v>5</v>
      </c>
      <c r="X23" s="105">
        <v>3</v>
      </c>
      <c r="Y23" s="105">
        <v>4</v>
      </c>
      <c r="Z23" s="105"/>
      <c r="AA23" s="105"/>
      <c r="AB23" s="105">
        <v>3</v>
      </c>
      <c r="AC23" s="105">
        <v>3</v>
      </c>
      <c r="AD23" s="105">
        <v>3</v>
      </c>
      <c r="AE23" s="105"/>
      <c r="AF23" s="105">
        <v>3</v>
      </c>
      <c r="AG23" s="105"/>
      <c r="AH23" s="105">
        <v>4</v>
      </c>
      <c r="AI23" s="106">
        <v>5</v>
      </c>
      <c r="AJ23" s="107"/>
      <c r="AM23" s="82"/>
    </row>
    <row r="24" ht="21.75" customHeight="1" spans="1:39">
      <c r="A24" s="31">
        <v>1</v>
      </c>
      <c r="B24" s="43" t="s">
        <v>26</v>
      </c>
      <c r="C24" s="44"/>
      <c r="D24" s="84">
        <v>100</v>
      </c>
      <c r="E24" s="105">
        <v>2</v>
      </c>
      <c r="F24" s="64">
        <v>3</v>
      </c>
      <c r="G24" s="64"/>
      <c r="H24" s="64"/>
      <c r="I24" s="64">
        <v>4</v>
      </c>
      <c r="J24" s="105">
        <v>3</v>
      </c>
      <c r="K24" s="105">
        <v>2</v>
      </c>
      <c r="L24" s="105">
        <v>4</v>
      </c>
      <c r="M24" s="105">
        <v>3</v>
      </c>
      <c r="N24" s="64"/>
      <c r="O24" s="64"/>
      <c r="P24" s="105">
        <v>5</v>
      </c>
      <c r="Q24" s="105">
        <v>5</v>
      </c>
      <c r="R24" s="105">
        <v>5</v>
      </c>
      <c r="S24" s="64"/>
      <c r="T24" s="105">
        <v>2</v>
      </c>
      <c r="U24" s="105">
        <v>2</v>
      </c>
      <c r="V24" s="105">
        <v>3</v>
      </c>
      <c r="W24" s="105">
        <v>5</v>
      </c>
      <c r="X24" s="105">
        <v>3</v>
      </c>
      <c r="Y24" s="105">
        <v>4</v>
      </c>
      <c r="Z24" s="64"/>
      <c r="AA24" s="64"/>
      <c r="AB24" s="105">
        <v>3</v>
      </c>
      <c r="AC24" s="105">
        <v>3</v>
      </c>
      <c r="AD24" s="105">
        <v>3</v>
      </c>
      <c r="AE24" s="64"/>
      <c r="AF24" s="105">
        <v>3</v>
      </c>
      <c r="AG24" s="105"/>
      <c r="AH24" s="105">
        <v>4</v>
      </c>
      <c r="AI24" s="106">
        <v>5</v>
      </c>
      <c r="AJ24" s="65" t="e">
        <f>SUM(E24:AI24)/AM24*50/100</f>
        <v>#REF!</v>
      </c>
      <c r="AM24" s="82" t="e">
        <f>AM18</f>
        <v>#REF!</v>
      </c>
    </row>
    <row r="25" ht="21.75" customHeight="1" spans="1:39">
      <c r="A25" s="31">
        <f>A24+1</f>
        <v>2</v>
      </c>
      <c r="B25" s="45" t="s">
        <v>27</v>
      </c>
      <c r="C25" s="45"/>
      <c r="D25" s="84">
        <v>100</v>
      </c>
      <c r="E25" s="64">
        <v>4</v>
      </c>
      <c r="F25" s="64">
        <v>6</v>
      </c>
      <c r="G25" s="64"/>
      <c r="H25" s="64"/>
      <c r="I25" s="12">
        <v>8</v>
      </c>
      <c r="J25" s="64">
        <v>6</v>
      </c>
      <c r="K25" s="64">
        <v>4</v>
      </c>
      <c r="L25" s="64">
        <v>8</v>
      </c>
      <c r="M25" s="64">
        <v>6</v>
      </c>
      <c r="N25" s="64"/>
      <c r="O25" s="64"/>
      <c r="P25" s="64">
        <v>10</v>
      </c>
      <c r="Q25" s="64">
        <v>10</v>
      </c>
      <c r="R25" s="12">
        <v>10</v>
      </c>
      <c r="S25" s="64"/>
      <c r="T25" s="64">
        <v>4</v>
      </c>
      <c r="U25" s="64">
        <v>4</v>
      </c>
      <c r="V25" s="64">
        <v>6</v>
      </c>
      <c r="W25" s="64">
        <v>10</v>
      </c>
      <c r="X25" s="64">
        <v>6</v>
      </c>
      <c r="Y25" s="64">
        <v>8</v>
      </c>
      <c r="Z25" s="64"/>
      <c r="AA25" s="64"/>
      <c r="AB25" s="64">
        <v>6</v>
      </c>
      <c r="AC25" s="64">
        <v>6</v>
      </c>
      <c r="AD25" s="64">
        <v>6</v>
      </c>
      <c r="AE25" s="64"/>
      <c r="AF25" s="64">
        <v>6</v>
      </c>
      <c r="AG25" s="64"/>
      <c r="AH25" s="64">
        <v>8</v>
      </c>
      <c r="AI25" s="64">
        <v>10</v>
      </c>
      <c r="AJ25" s="65" t="e">
        <f t="shared" ref="AJ25:AJ31" si="5">SUM(E25:AI25)/AM25*50/100</f>
        <v>#REF!</v>
      </c>
      <c r="AM25" s="82" t="e">
        <f t="shared" si="0"/>
        <v>#REF!</v>
      </c>
    </row>
    <row r="26" ht="21.75" customHeight="1" spans="1:39">
      <c r="A26" s="31">
        <f>A25+1</f>
        <v>3</v>
      </c>
      <c r="B26" s="46" t="s">
        <v>28</v>
      </c>
      <c r="C26" s="46"/>
      <c r="D26" s="84">
        <v>100</v>
      </c>
      <c r="E26" s="64">
        <v>4</v>
      </c>
      <c r="F26" s="64">
        <v>6</v>
      </c>
      <c r="G26" s="64"/>
      <c r="H26" s="64"/>
      <c r="I26" s="64">
        <v>8</v>
      </c>
      <c r="J26" s="64">
        <v>6</v>
      </c>
      <c r="K26" s="64">
        <v>4</v>
      </c>
      <c r="L26" s="64">
        <v>8</v>
      </c>
      <c r="M26" s="64">
        <v>6</v>
      </c>
      <c r="N26" s="64"/>
      <c r="O26" s="64"/>
      <c r="P26" s="64">
        <v>10</v>
      </c>
      <c r="Q26" s="64">
        <v>10</v>
      </c>
      <c r="R26" s="64">
        <v>10</v>
      </c>
      <c r="S26" s="64"/>
      <c r="T26" s="64">
        <v>4</v>
      </c>
      <c r="U26" s="64">
        <v>4</v>
      </c>
      <c r="V26" s="64">
        <v>6</v>
      </c>
      <c r="W26" s="64">
        <v>10</v>
      </c>
      <c r="X26" s="64">
        <v>6</v>
      </c>
      <c r="Y26" s="64">
        <v>8</v>
      </c>
      <c r="Z26" s="64"/>
      <c r="AA26" s="64"/>
      <c r="AB26" s="64">
        <v>6</v>
      </c>
      <c r="AC26" s="64">
        <v>6</v>
      </c>
      <c r="AD26" s="64">
        <v>6</v>
      </c>
      <c r="AE26" s="64"/>
      <c r="AF26" s="64">
        <v>6</v>
      </c>
      <c r="AG26" s="64"/>
      <c r="AH26" s="64">
        <v>8</v>
      </c>
      <c r="AI26" s="64">
        <v>10</v>
      </c>
      <c r="AJ26" s="65" t="e">
        <f t="shared" si="5"/>
        <v>#REF!</v>
      </c>
      <c r="AM26" s="82" t="e">
        <f t="shared" si="0"/>
        <v>#REF!</v>
      </c>
    </row>
    <row r="27" ht="21.75" customHeight="1" spans="1:39">
      <c r="A27" s="31">
        <f>A26+1</f>
        <v>4</v>
      </c>
      <c r="B27" s="46" t="s">
        <v>29</v>
      </c>
      <c r="C27" s="46"/>
      <c r="D27" s="84">
        <v>100</v>
      </c>
      <c r="E27" s="64">
        <v>2</v>
      </c>
      <c r="F27" s="64">
        <v>3</v>
      </c>
      <c r="G27" s="64"/>
      <c r="H27" s="64"/>
      <c r="I27" s="64">
        <v>4</v>
      </c>
      <c r="J27" s="64">
        <v>3</v>
      </c>
      <c r="K27" s="64">
        <v>2</v>
      </c>
      <c r="L27" s="64">
        <v>4</v>
      </c>
      <c r="M27" s="64">
        <v>3</v>
      </c>
      <c r="N27" s="64"/>
      <c r="O27" s="64"/>
      <c r="P27" s="64">
        <v>5</v>
      </c>
      <c r="Q27" s="64">
        <v>5</v>
      </c>
      <c r="R27" s="64">
        <v>5</v>
      </c>
      <c r="S27" s="64"/>
      <c r="T27" s="64">
        <v>2</v>
      </c>
      <c r="U27" s="64">
        <v>2</v>
      </c>
      <c r="V27" s="64">
        <v>3</v>
      </c>
      <c r="W27" s="64">
        <v>5</v>
      </c>
      <c r="X27" s="64">
        <v>3</v>
      </c>
      <c r="Y27" s="64">
        <v>4</v>
      </c>
      <c r="Z27" s="64"/>
      <c r="AA27" s="64"/>
      <c r="AB27" s="64">
        <v>3</v>
      </c>
      <c r="AC27" s="64">
        <v>3</v>
      </c>
      <c r="AD27" s="64">
        <v>3</v>
      </c>
      <c r="AE27" s="64"/>
      <c r="AF27" s="64">
        <v>3</v>
      </c>
      <c r="AG27" s="64"/>
      <c r="AH27" s="64">
        <v>4</v>
      </c>
      <c r="AI27" s="64">
        <v>5</v>
      </c>
      <c r="AJ27" s="65" t="e">
        <f t="shared" si="5"/>
        <v>#REF!</v>
      </c>
      <c r="AM27" s="82" t="e">
        <f t="shared" si="0"/>
        <v>#REF!</v>
      </c>
    </row>
    <row r="28" ht="34.5" customHeight="1" spans="1:39">
      <c r="A28" s="31">
        <f t="shared" ref="A28:A30" si="6">A27+1</f>
        <v>5</v>
      </c>
      <c r="B28" s="47" t="s">
        <v>30</v>
      </c>
      <c r="C28" s="48"/>
      <c r="D28" s="84">
        <v>100</v>
      </c>
      <c r="E28" s="64">
        <v>2</v>
      </c>
      <c r="F28" s="64">
        <v>3</v>
      </c>
      <c r="G28" s="64"/>
      <c r="H28" s="64"/>
      <c r="I28" s="64">
        <v>4</v>
      </c>
      <c r="J28" s="64">
        <v>3</v>
      </c>
      <c r="K28" s="64">
        <v>2</v>
      </c>
      <c r="L28" s="64">
        <v>4</v>
      </c>
      <c r="M28" s="64">
        <v>3</v>
      </c>
      <c r="N28" s="64"/>
      <c r="O28" s="64"/>
      <c r="P28" s="64">
        <v>5</v>
      </c>
      <c r="Q28" s="64">
        <v>5</v>
      </c>
      <c r="R28" s="64">
        <v>5</v>
      </c>
      <c r="S28" s="64"/>
      <c r="T28" s="64">
        <v>2</v>
      </c>
      <c r="U28" s="64">
        <v>2</v>
      </c>
      <c r="V28" s="64">
        <v>3</v>
      </c>
      <c r="W28" s="64">
        <v>5</v>
      </c>
      <c r="X28" s="64">
        <v>3</v>
      </c>
      <c r="Y28" s="64">
        <v>4</v>
      </c>
      <c r="Z28" s="64"/>
      <c r="AA28" s="64"/>
      <c r="AB28" s="64">
        <v>3</v>
      </c>
      <c r="AC28" s="64">
        <v>3</v>
      </c>
      <c r="AD28" s="64">
        <v>3</v>
      </c>
      <c r="AE28" s="64"/>
      <c r="AF28" s="64">
        <v>3</v>
      </c>
      <c r="AG28" s="64"/>
      <c r="AH28" s="64">
        <v>4</v>
      </c>
      <c r="AI28" s="64">
        <v>5</v>
      </c>
      <c r="AJ28" s="65" t="e">
        <f t="shared" si="5"/>
        <v>#REF!</v>
      </c>
      <c r="AM28" s="82" t="e">
        <f t="shared" si="0"/>
        <v>#REF!</v>
      </c>
    </row>
    <row r="29" ht="34.5" customHeight="1" spans="1:39">
      <c r="A29" s="31">
        <f t="shared" si="6"/>
        <v>6</v>
      </c>
      <c r="B29" s="47" t="s">
        <v>31</v>
      </c>
      <c r="C29" s="48"/>
      <c r="D29" s="84">
        <v>100</v>
      </c>
      <c r="E29" s="64">
        <v>0</v>
      </c>
      <c r="F29" s="64">
        <v>0</v>
      </c>
      <c r="G29" s="64"/>
      <c r="H29" s="64"/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/>
      <c r="O29" s="64"/>
      <c r="P29" s="64">
        <v>0</v>
      </c>
      <c r="Q29" s="64">
        <v>0</v>
      </c>
      <c r="R29" s="64">
        <v>0</v>
      </c>
      <c r="S29" s="64"/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>
        <v>0</v>
      </c>
      <c r="AC29" s="64">
        <v>0</v>
      </c>
      <c r="AD29" s="64">
        <v>0</v>
      </c>
      <c r="AE29" s="64"/>
      <c r="AF29" s="64">
        <v>0</v>
      </c>
      <c r="AG29" s="64"/>
      <c r="AH29" s="64">
        <v>0</v>
      </c>
      <c r="AI29" s="64">
        <v>0</v>
      </c>
      <c r="AJ29" s="65" t="e">
        <f t="shared" si="5"/>
        <v>#REF!</v>
      </c>
      <c r="AM29" s="82" t="e">
        <f t="shared" si="0"/>
        <v>#REF!</v>
      </c>
    </row>
    <row r="30" ht="34.5" customHeight="1" spans="1:39">
      <c r="A30" s="31">
        <f t="shared" si="6"/>
        <v>7</v>
      </c>
      <c r="B30" s="47" t="s">
        <v>32</v>
      </c>
      <c r="C30" s="48"/>
      <c r="D30" s="84">
        <v>100</v>
      </c>
      <c r="E30" s="64">
        <v>0</v>
      </c>
      <c r="F30" s="64">
        <v>0</v>
      </c>
      <c r="G30" s="64"/>
      <c r="H30" s="64"/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/>
      <c r="O30" s="64"/>
      <c r="P30" s="64">
        <v>0</v>
      </c>
      <c r="Q30" s="64">
        <v>0</v>
      </c>
      <c r="R30" s="64">
        <v>0</v>
      </c>
      <c r="S30" s="64"/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>
        <v>0</v>
      </c>
      <c r="AC30" s="64">
        <v>0</v>
      </c>
      <c r="AD30" s="64">
        <v>0</v>
      </c>
      <c r="AE30" s="64"/>
      <c r="AF30" s="64">
        <v>0</v>
      </c>
      <c r="AG30" s="64"/>
      <c r="AH30" s="64">
        <v>0</v>
      </c>
      <c r="AI30" s="64">
        <v>0</v>
      </c>
      <c r="AJ30" s="65" t="e">
        <f t="shared" si="5"/>
        <v>#REF!</v>
      </c>
      <c r="AM30" s="82" t="e">
        <f t="shared" si="0"/>
        <v>#REF!</v>
      </c>
    </row>
    <row r="31" ht="34.5" customHeight="1" spans="1:39">
      <c r="A31" s="31">
        <v>8</v>
      </c>
      <c r="B31" s="47" t="s">
        <v>33</v>
      </c>
      <c r="C31" s="48"/>
      <c r="D31" s="84">
        <v>100</v>
      </c>
      <c r="E31" s="64">
        <v>0</v>
      </c>
      <c r="F31" s="64">
        <v>0</v>
      </c>
      <c r="G31" s="64"/>
      <c r="H31" s="64"/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/>
      <c r="O31" s="64"/>
      <c r="P31" s="64">
        <v>0</v>
      </c>
      <c r="Q31" s="64">
        <v>0</v>
      </c>
      <c r="R31" s="64">
        <v>0</v>
      </c>
      <c r="S31" s="64"/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>
        <v>0</v>
      </c>
      <c r="AC31" s="64">
        <v>0</v>
      </c>
      <c r="AD31" s="64">
        <v>0</v>
      </c>
      <c r="AE31" s="64"/>
      <c r="AF31" s="64">
        <v>0</v>
      </c>
      <c r="AG31" s="64"/>
      <c r="AH31" s="64">
        <v>0</v>
      </c>
      <c r="AI31" s="64">
        <v>0</v>
      </c>
      <c r="AJ31" s="65" t="e">
        <f t="shared" si="5"/>
        <v>#REF!</v>
      </c>
      <c r="AM31" s="82" t="e">
        <f t="shared" si="0"/>
        <v>#REF!</v>
      </c>
    </row>
    <row r="32" ht="22.5" customHeight="1" spans="1:39">
      <c r="A32" s="87" t="s">
        <v>16</v>
      </c>
      <c r="B32" s="87"/>
      <c r="C32" s="87"/>
      <c r="D32" s="88"/>
      <c r="E32" s="34">
        <f>SUM(E24:E31)/8</f>
        <v>1.75</v>
      </c>
      <c r="F32" s="34">
        <f t="shared" ref="F32:AJ32" si="7">SUM(F24:F31)/8</f>
        <v>2.625</v>
      </c>
      <c r="G32" s="34">
        <f t="shared" si="7"/>
        <v>0</v>
      </c>
      <c r="H32" s="34">
        <f t="shared" si="7"/>
        <v>0</v>
      </c>
      <c r="I32" s="34">
        <f t="shared" si="7"/>
        <v>3.5</v>
      </c>
      <c r="J32" s="34">
        <f t="shared" si="7"/>
        <v>2.625</v>
      </c>
      <c r="K32" s="34">
        <f t="shared" si="7"/>
        <v>1.75</v>
      </c>
      <c r="L32" s="34">
        <f t="shared" si="7"/>
        <v>3.5</v>
      </c>
      <c r="M32" s="34">
        <f t="shared" si="7"/>
        <v>2.625</v>
      </c>
      <c r="N32" s="34">
        <f t="shared" si="7"/>
        <v>0</v>
      </c>
      <c r="O32" s="34">
        <f t="shared" si="7"/>
        <v>0</v>
      </c>
      <c r="P32" s="34">
        <f t="shared" si="7"/>
        <v>4.375</v>
      </c>
      <c r="Q32" s="34">
        <f t="shared" si="7"/>
        <v>4.375</v>
      </c>
      <c r="R32" s="34">
        <f t="shared" si="7"/>
        <v>4.375</v>
      </c>
      <c r="S32" s="34">
        <f t="shared" si="7"/>
        <v>0</v>
      </c>
      <c r="T32" s="34">
        <f t="shared" si="7"/>
        <v>1.75</v>
      </c>
      <c r="U32" s="34">
        <f t="shared" si="7"/>
        <v>1.75</v>
      </c>
      <c r="V32" s="34">
        <f t="shared" si="7"/>
        <v>2.625</v>
      </c>
      <c r="W32" s="34">
        <f t="shared" si="7"/>
        <v>4.375</v>
      </c>
      <c r="X32" s="34">
        <f t="shared" si="7"/>
        <v>2.625</v>
      </c>
      <c r="Y32" s="34">
        <f t="shared" si="7"/>
        <v>3.5</v>
      </c>
      <c r="Z32" s="34">
        <f t="shared" si="7"/>
        <v>0</v>
      </c>
      <c r="AA32" s="34">
        <f t="shared" si="7"/>
        <v>0</v>
      </c>
      <c r="AB32" s="34">
        <f t="shared" si="7"/>
        <v>2.625</v>
      </c>
      <c r="AC32" s="34">
        <f t="shared" si="7"/>
        <v>2.625</v>
      </c>
      <c r="AD32" s="34">
        <f t="shared" si="7"/>
        <v>2.625</v>
      </c>
      <c r="AE32" s="34">
        <f t="shared" si="7"/>
        <v>0</v>
      </c>
      <c r="AF32" s="34">
        <f t="shared" si="7"/>
        <v>2.625</v>
      </c>
      <c r="AG32" s="34">
        <f t="shared" si="7"/>
        <v>0</v>
      </c>
      <c r="AH32" s="34">
        <f t="shared" si="7"/>
        <v>3.5</v>
      </c>
      <c r="AI32" s="34">
        <f t="shared" si="7"/>
        <v>4.375</v>
      </c>
      <c r="AJ32" s="42" t="e">
        <f t="shared" si="7"/>
        <v>#REF!</v>
      </c>
      <c r="AM32" s="82" t="e">
        <f t="shared" si="0"/>
        <v>#REF!</v>
      </c>
    </row>
    <row r="33" ht="22.5" customHeight="1" spans="1:39">
      <c r="A33" s="89" t="s">
        <v>34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90" t="e">
        <f>AJ13+AJ17+AJ32</f>
        <v>#REF!</v>
      </c>
      <c r="AM33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24:C24"/>
    <mergeCell ref="B25:C25"/>
    <mergeCell ref="B26:C26"/>
    <mergeCell ref="B27:C27"/>
    <mergeCell ref="B28:C28"/>
    <mergeCell ref="B29:C29"/>
    <mergeCell ref="B30:C30"/>
    <mergeCell ref="B31:C31"/>
    <mergeCell ref="A32:C32"/>
    <mergeCell ref="A33:AI33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74" zoomScaleNormal="74" topLeftCell="D16" workbookViewId="0">
      <selection activeCell="AL7" sqref="AL7:AM28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7" width="10.7142857142857" style="12" customWidth="1"/>
    <col min="38" max="38" width="24.2857142857143" style="12" customWidth="1"/>
    <col min="39" max="42" width="9.14285714285714" style="12"/>
    <col min="43" max="43" width="9.14285714285714" style="12" customWidth="1"/>
    <col min="44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35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K7" s="92"/>
      <c r="AL7" s="9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94">
        <v>30</v>
      </c>
      <c r="AI8" s="94">
        <v>31</v>
      </c>
      <c r="AJ8" s="58"/>
      <c r="AK8" s="92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95"/>
      <c r="AI9" s="96"/>
      <c r="AJ9" s="79"/>
      <c r="AK9" s="97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/>
      <c r="G10" s="64">
        <v>0</v>
      </c>
      <c r="H10" s="64">
        <v>0</v>
      </c>
      <c r="I10" s="64">
        <v>0</v>
      </c>
      <c r="J10" s="64">
        <v>0</v>
      </c>
      <c r="K10" s="64"/>
      <c r="L10" s="64"/>
      <c r="M10" s="64">
        <v>0</v>
      </c>
      <c r="N10" s="64">
        <v>0</v>
      </c>
      <c r="O10" s="64">
        <v>0</v>
      </c>
      <c r="P10" s="64"/>
      <c r="Q10" s="64">
        <v>0</v>
      </c>
      <c r="R10" s="64">
        <v>0</v>
      </c>
      <c r="S10" s="64">
        <v>0</v>
      </c>
      <c r="T10" s="64"/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>
        <v>0</v>
      </c>
      <c r="AC10" s="64">
        <v>0</v>
      </c>
      <c r="AD10" s="64">
        <v>0</v>
      </c>
      <c r="AE10" s="64"/>
      <c r="AF10" s="64">
        <v>0</v>
      </c>
      <c r="AG10" s="64"/>
      <c r="AH10" s="64"/>
      <c r="AI10" s="64"/>
      <c r="AJ10" s="65">
        <f>SUM(E10:AI10)/AM10*40/100</f>
        <v>0</v>
      </c>
      <c r="AK10" s="98"/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>
        <v>0</v>
      </c>
      <c r="F11" s="64"/>
      <c r="G11" s="64">
        <v>0</v>
      </c>
      <c r="H11" s="64">
        <v>0</v>
      </c>
      <c r="I11" s="64">
        <v>0</v>
      </c>
      <c r="J11" s="64">
        <v>0</v>
      </c>
      <c r="K11" s="64"/>
      <c r="L11" s="64"/>
      <c r="M11" s="64">
        <v>0</v>
      </c>
      <c r="N11" s="64">
        <v>0</v>
      </c>
      <c r="O11" s="64">
        <v>0</v>
      </c>
      <c r="P11" s="64"/>
      <c r="Q11" s="64">
        <v>0</v>
      </c>
      <c r="R11" s="64">
        <v>0</v>
      </c>
      <c r="S11" s="64">
        <v>0</v>
      </c>
      <c r="T11" s="64"/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>
        <v>0</v>
      </c>
      <c r="AC11" s="64">
        <v>0</v>
      </c>
      <c r="AD11" s="64">
        <v>0</v>
      </c>
      <c r="AE11" s="64"/>
      <c r="AF11" s="64">
        <v>0</v>
      </c>
      <c r="AG11" s="64"/>
      <c r="AH11" s="64"/>
      <c r="AI11" s="64"/>
      <c r="AJ11" s="65">
        <f t="shared" ref="AJ11:AJ12" si="1">SUM(E11:AI11)/AM11*40/100</f>
        <v>0</v>
      </c>
      <c r="AK11" s="98"/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5</v>
      </c>
      <c r="F12" s="64"/>
      <c r="G12" s="64">
        <v>5</v>
      </c>
      <c r="H12" s="64">
        <v>3</v>
      </c>
      <c r="I12" s="64">
        <v>3</v>
      </c>
      <c r="J12" s="64">
        <v>2</v>
      </c>
      <c r="K12" s="64"/>
      <c r="L12" s="64"/>
      <c r="M12" s="64">
        <v>4</v>
      </c>
      <c r="N12" s="64">
        <v>3</v>
      </c>
      <c r="O12" s="64">
        <v>4</v>
      </c>
      <c r="P12" s="64"/>
      <c r="Q12" s="64">
        <v>4</v>
      </c>
      <c r="R12" s="64">
        <v>8</v>
      </c>
      <c r="S12" s="64">
        <v>5</v>
      </c>
      <c r="T12" s="64"/>
      <c r="U12" s="64">
        <v>7</v>
      </c>
      <c r="V12" s="64">
        <v>6</v>
      </c>
      <c r="W12" s="64">
        <v>6</v>
      </c>
      <c r="X12" s="64">
        <v>5</v>
      </c>
      <c r="Y12" s="64">
        <v>2</v>
      </c>
      <c r="Z12" s="64"/>
      <c r="AA12" s="64"/>
      <c r="AB12" s="64">
        <v>4</v>
      </c>
      <c r="AC12" s="64">
        <v>4</v>
      </c>
      <c r="AD12" s="64">
        <v>4</v>
      </c>
      <c r="AE12" s="64"/>
      <c r="AF12" s="64">
        <v>6</v>
      </c>
      <c r="AG12" s="64"/>
      <c r="AH12" s="64"/>
      <c r="AI12" s="64"/>
      <c r="AJ12" s="65">
        <f t="shared" si="1"/>
        <v>1.28571428571429</v>
      </c>
      <c r="AK12" s="98"/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1.66666666666667</v>
      </c>
      <c r="F13" s="34">
        <f t="shared" ref="F13:AJ13" si="2">SUM(F10:F12)/3</f>
        <v>0</v>
      </c>
      <c r="G13" s="34">
        <f t="shared" si="2"/>
        <v>1.66666666666667</v>
      </c>
      <c r="H13" s="34">
        <f t="shared" si="2"/>
        <v>1</v>
      </c>
      <c r="I13" s="34">
        <f t="shared" si="2"/>
        <v>1</v>
      </c>
      <c r="J13" s="34">
        <f t="shared" si="2"/>
        <v>0.666666666666667</v>
      </c>
      <c r="K13" s="34">
        <f t="shared" si="2"/>
        <v>0</v>
      </c>
      <c r="L13" s="34">
        <f t="shared" si="2"/>
        <v>0</v>
      </c>
      <c r="M13" s="34">
        <f t="shared" si="2"/>
        <v>1.33333333333333</v>
      </c>
      <c r="N13" s="34">
        <f t="shared" si="2"/>
        <v>1</v>
      </c>
      <c r="O13" s="34">
        <f t="shared" si="2"/>
        <v>1.33333333333333</v>
      </c>
      <c r="P13" s="34">
        <f t="shared" si="2"/>
        <v>0</v>
      </c>
      <c r="Q13" s="34">
        <f t="shared" si="2"/>
        <v>1.33333333333333</v>
      </c>
      <c r="R13" s="34">
        <f t="shared" si="2"/>
        <v>2.66666666666667</v>
      </c>
      <c r="S13" s="34">
        <f t="shared" si="2"/>
        <v>1.66666666666667</v>
      </c>
      <c r="T13" s="34">
        <f t="shared" si="2"/>
        <v>0</v>
      </c>
      <c r="U13" s="34">
        <f t="shared" si="2"/>
        <v>2.33333333333333</v>
      </c>
      <c r="V13" s="34">
        <f t="shared" si="2"/>
        <v>2</v>
      </c>
      <c r="W13" s="34">
        <f t="shared" si="2"/>
        <v>2</v>
      </c>
      <c r="X13" s="34">
        <f t="shared" si="2"/>
        <v>1.66666666666667</v>
      </c>
      <c r="Y13" s="34">
        <f t="shared" si="2"/>
        <v>0.666666666666667</v>
      </c>
      <c r="Z13" s="34">
        <f t="shared" si="2"/>
        <v>0</v>
      </c>
      <c r="AA13" s="34">
        <f t="shared" si="2"/>
        <v>0</v>
      </c>
      <c r="AB13" s="34">
        <f t="shared" si="2"/>
        <v>1.33333333333333</v>
      </c>
      <c r="AC13" s="34">
        <f t="shared" si="2"/>
        <v>1.33333333333333</v>
      </c>
      <c r="AD13" s="34">
        <f t="shared" si="2"/>
        <v>1.33333333333333</v>
      </c>
      <c r="AE13" s="34">
        <f t="shared" si="2"/>
        <v>0</v>
      </c>
      <c r="AF13" s="34">
        <f t="shared" si="2"/>
        <v>2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0.428571428571429</v>
      </c>
      <c r="AK13" s="98"/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95"/>
      <c r="AI14" s="96"/>
      <c r="AJ14" s="85"/>
      <c r="AK14" s="99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5</v>
      </c>
      <c r="F15" s="64"/>
      <c r="G15" s="64">
        <v>5</v>
      </c>
      <c r="H15" s="64">
        <v>3</v>
      </c>
      <c r="I15" s="64">
        <v>3</v>
      </c>
      <c r="J15" s="64">
        <v>2</v>
      </c>
      <c r="K15" s="64"/>
      <c r="L15" s="64"/>
      <c r="M15" s="64">
        <v>4</v>
      </c>
      <c r="N15" s="64">
        <v>3</v>
      </c>
      <c r="O15" s="64">
        <v>4</v>
      </c>
      <c r="P15" s="64"/>
      <c r="Q15" s="64">
        <v>4</v>
      </c>
      <c r="R15" s="64">
        <v>8</v>
      </c>
      <c r="S15" s="64">
        <v>5</v>
      </c>
      <c r="T15" s="64"/>
      <c r="U15" s="64">
        <v>7</v>
      </c>
      <c r="V15" s="64">
        <v>6</v>
      </c>
      <c r="W15" s="64">
        <v>6</v>
      </c>
      <c r="X15" s="64">
        <v>5</v>
      </c>
      <c r="Y15" s="64">
        <v>2</v>
      </c>
      <c r="Z15" s="64"/>
      <c r="AA15" s="64"/>
      <c r="AB15" s="64">
        <v>4</v>
      </c>
      <c r="AC15" s="64">
        <v>4</v>
      </c>
      <c r="AD15" s="64">
        <v>4</v>
      </c>
      <c r="AE15" s="64"/>
      <c r="AF15" s="64">
        <v>6</v>
      </c>
      <c r="AG15" s="64"/>
      <c r="AH15" s="64"/>
      <c r="AI15" s="64"/>
      <c r="AJ15" s="65">
        <f>SUM(E15:AI15)/AM15*10/100</f>
        <v>0.321428571428571</v>
      </c>
      <c r="AK15" s="98"/>
      <c r="AM15" s="82">
        <f t="shared" si="0"/>
        <v>28</v>
      </c>
    </row>
    <row r="16" ht="33.75" customHeight="1" spans="1:39">
      <c r="A16" s="31">
        <v>2</v>
      </c>
      <c r="B16" s="32" t="s">
        <v>37</v>
      </c>
      <c r="C16" s="33"/>
      <c r="D16" s="84">
        <v>100</v>
      </c>
      <c r="E16" s="64">
        <v>5</v>
      </c>
      <c r="F16" s="64"/>
      <c r="G16" s="64">
        <v>5</v>
      </c>
      <c r="H16" s="64">
        <v>3</v>
      </c>
      <c r="I16" s="64">
        <v>3</v>
      </c>
      <c r="J16" s="64">
        <v>2</v>
      </c>
      <c r="K16" s="64"/>
      <c r="L16" s="64"/>
      <c r="M16" s="64">
        <v>4</v>
      </c>
      <c r="N16" s="64">
        <v>3</v>
      </c>
      <c r="O16" s="64">
        <v>4</v>
      </c>
      <c r="P16" s="64"/>
      <c r="Q16" s="64">
        <v>4</v>
      </c>
      <c r="R16" s="64">
        <v>8</v>
      </c>
      <c r="S16" s="64">
        <v>5</v>
      </c>
      <c r="T16" s="64"/>
      <c r="U16" s="64">
        <v>7</v>
      </c>
      <c r="V16" s="64">
        <v>6</v>
      </c>
      <c r="W16" s="64">
        <v>6</v>
      </c>
      <c r="X16" s="64">
        <v>5</v>
      </c>
      <c r="Y16" s="64">
        <v>2</v>
      </c>
      <c r="Z16" s="64"/>
      <c r="AA16" s="64"/>
      <c r="AB16" s="64">
        <v>4</v>
      </c>
      <c r="AC16" s="64">
        <v>4</v>
      </c>
      <c r="AD16" s="64">
        <v>4</v>
      </c>
      <c r="AE16" s="64"/>
      <c r="AF16" s="64">
        <v>6</v>
      </c>
      <c r="AG16" s="64"/>
      <c r="AH16" s="64"/>
      <c r="AI16" s="64"/>
      <c r="AJ16" s="65">
        <f t="shared" ref="AJ16" si="3">SUM(E16:AI16)/AM16*10/100</f>
        <v>0.321428571428571</v>
      </c>
      <c r="AK16" s="98"/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3.33333333333333</v>
      </c>
      <c r="F17" s="34">
        <f t="shared" si="4"/>
        <v>0</v>
      </c>
      <c r="G17" s="34">
        <f t="shared" si="4"/>
        <v>3.33333333333333</v>
      </c>
      <c r="H17" s="34">
        <f t="shared" si="4"/>
        <v>2</v>
      </c>
      <c r="I17" s="34">
        <f t="shared" si="4"/>
        <v>2</v>
      </c>
      <c r="J17" s="34">
        <f t="shared" si="4"/>
        <v>1.33333333333333</v>
      </c>
      <c r="K17" s="34">
        <f t="shared" si="4"/>
        <v>0</v>
      </c>
      <c r="L17" s="34">
        <f t="shared" si="4"/>
        <v>0</v>
      </c>
      <c r="M17" s="34">
        <f t="shared" si="4"/>
        <v>2.66666666666667</v>
      </c>
      <c r="N17" s="34">
        <f t="shared" si="4"/>
        <v>2</v>
      </c>
      <c r="O17" s="34">
        <f t="shared" si="4"/>
        <v>2.66666666666667</v>
      </c>
      <c r="P17" s="34">
        <f t="shared" si="4"/>
        <v>0</v>
      </c>
      <c r="Q17" s="34">
        <f t="shared" si="4"/>
        <v>2.66666666666667</v>
      </c>
      <c r="R17" s="34">
        <f t="shared" si="4"/>
        <v>5.33333333333333</v>
      </c>
      <c r="S17" s="34">
        <f t="shared" si="4"/>
        <v>3.33333333333333</v>
      </c>
      <c r="T17" s="34">
        <f t="shared" si="4"/>
        <v>0</v>
      </c>
      <c r="U17" s="34">
        <f t="shared" si="4"/>
        <v>4.66666666666667</v>
      </c>
      <c r="V17" s="34">
        <f t="shared" si="4"/>
        <v>4</v>
      </c>
      <c r="W17" s="34">
        <f t="shared" si="4"/>
        <v>4</v>
      </c>
      <c r="X17" s="34">
        <f t="shared" si="4"/>
        <v>3.33333333333333</v>
      </c>
      <c r="Y17" s="34">
        <f t="shared" si="4"/>
        <v>1.33333333333333</v>
      </c>
      <c r="Z17" s="34">
        <f t="shared" si="4"/>
        <v>0</v>
      </c>
      <c r="AA17" s="34">
        <f t="shared" si="4"/>
        <v>0</v>
      </c>
      <c r="AB17" s="34">
        <f t="shared" si="4"/>
        <v>2.66666666666667</v>
      </c>
      <c r="AC17" s="34">
        <f t="shared" si="4"/>
        <v>2.66666666666667</v>
      </c>
      <c r="AD17" s="34">
        <f t="shared" si="4"/>
        <v>2.66666666666667</v>
      </c>
      <c r="AE17" s="34">
        <f t="shared" si="4"/>
        <v>0</v>
      </c>
      <c r="AF17" s="34">
        <f t="shared" si="4"/>
        <v>4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0.214285714285714</v>
      </c>
      <c r="AK17" s="98"/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95"/>
      <c r="AI18" s="96"/>
      <c r="AJ18" s="86"/>
      <c r="AK18" s="100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>
        <v>5</v>
      </c>
      <c r="F19" s="64"/>
      <c r="G19" s="64">
        <v>5</v>
      </c>
      <c r="H19" s="64">
        <v>3</v>
      </c>
      <c r="I19" s="64">
        <v>3</v>
      </c>
      <c r="J19" s="64">
        <v>2</v>
      </c>
      <c r="K19" s="64"/>
      <c r="L19" s="64"/>
      <c r="M19" s="64">
        <v>4</v>
      </c>
      <c r="N19" s="64">
        <v>3</v>
      </c>
      <c r="O19" s="64">
        <v>4</v>
      </c>
      <c r="P19" s="64"/>
      <c r="Q19" s="64">
        <v>4</v>
      </c>
      <c r="R19" s="64">
        <v>8</v>
      </c>
      <c r="S19" s="64">
        <v>5</v>
      </c>
      <c r="T19" s="64"/>
      <c r="U19" s="64">
        <v>7</v>
      </c>
      <c r="V19" s="64">
        <v>6</v>
      </c>
      <c r="W19" s="64">
        <v>6</v>
      </c>
      <c r="X19" s="64">
        <v>5</v>
      </c>
      <c r="Y19" s="64">
        <v>2</v>
      </c>
      <c r="Z19" s="64"/>
      <c r="AA19" s="64"/>
      <c r="AB19" s="64">
        <v>4</v>
      </c>
      <c r="AC19" s="64">
        <v>4</v>
      </c>
      <c r="AD19" s="64">
        <v>4</v>
      </c>
      <c r="AE19" s="64"/>
      <c r="AF19" s="64">
        <v>6</v>
      </c>
      <c r="AG19" s="64"/>
      <c r="AH19" s="64"/>
      <c r="AI19" s="64"/>
      <c r="AJ19" s="65" t="e">
        <f>SUM(E19:AI19)/AM19*50/100</f>
        <v>#REF!</v>
      </c>
      <c r="AK19" s="98"/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>
        <v>10</v>
      </c>
      <c r="F20" s="64"/>
      <c r="G20" s="64">
        <v>10</v>
      </c>
      <c r="H20" s="64">
        <v>6</v>
      </c>
      <c r="I20" s="64">
        <v>6</v>
      </c>
      <c r="J20" s="64">
        <v>4</v>
      </c>
      <c r="K20" s="64"/>
      <c r="L20" s="64"/>
      <c r="M20" s="64">
        <v>8</v>
      </c>
      <c r="N20" s="64">
        <v>6</v>
      </c>
      <c r="O20" s="64">
        <v>8</v>
      </c>
      <c r="P20" s="64"/>
      <c r="Q20" s="64">
        <v>8</v>
      </c>
      <c r="R20" s="64">
        <v>16</v>
      </c>
      <c r="S20" s="64">
        <v>10</v>
      </c>
      <c r="T20" s="64"/>
      <c r="U20" s="64">
        <v>14</v>
      </c>
      <c r="V20" s="64">
        <v>12</v>
      </c>
      <c r="W20" s="64">
        <v>12</v>
      </c>
      <c r="X20" s="64">
        <v>10</v>
      </c>
      <c r="Y20" s="64">
        <v>4</v>
      </c>
      <c r="Z20" s="64"/>
      <c r="AA20" s="64"/>
      <c r="AB20" s="64">
        <v>8</v>
      </c>
      <c r="AC20" s="64">
        <v>8</v>
      </c>
      <c r="AD20" s="64">
        <v>8</v>
      </c>
      <c r="AE20" s="64"/>
      <c r="AF20" s="64">
        <v>12</v>
      </c>
      <c r="AG20" s="64"/>
      <c r="AH20" s="64"/>
      <c r="AI20" s="64"/>
      <c r="AJ20" s="65" t="e">
        <f t="shared" ref="AJ20:AJ26" si="5">SUM(E20:AI20)/AM20*50/100</f>
        <v>#REF!</v>
      </c>
      <c r="AK20" s="98"/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>
        <v>10</v>
      </c>
      <c r="F21" s="64"/>
      <c r="G21" s="64">
        <v>10</v>
      </c>
      <c r="H21" s="64">
        <v>6</v>
      </c>
      <c r="I21" s="64">
        <v>6</v>
      </c>
      <c r="J21" s="64">
        <v>2</v>
      </c>
      <c r="K21" s="64"/>
      <c r="L21" s="64"/>
      <c r="M21" s="64">
        <v>8</v>
      </c>
      <c r="N21" s="64">
        <v>6</v>
      </c>
      <c r="O21" s="64">
        <v>8</v>
      </c>
      <c r="P21" s="64"/>
      <c r="Q21" s="64">
        <v>8</v>
      </c>
      <c r="R21" s="64">
        <v>16</v>
      </c>
      <c r="S21" s="64">
        <v>10</v>
      </c>
      <c r="T21" s="64"/>
      <c r="U21" s="64">
        <v>14</v>
      </c>
      <c r="V21" s="64">
        <v>12</v>
      </c>
      <c r="W21" s="64">
        <v>12</v>
      </c>
      <c r="X21" s="64">
        <v>10</v>
      </c>
      <c r="Y21" s="64">
        <v>4</v>
      </c>
      <c r="Z21" s="64"/>
      <c r="AA21" s="64"/>
      <c r="AB21" s="64">
        <v>8</v>
      </c>
      <c r="AC21" s="64">
        <v>8</v>
      </c>
      <c r="AD21" s="64">
        <v>8</v>
      </c>
      <c r="AE21" s="64"/>
      <c r="AF21" s="64">
        <v>12</v>
      </c>
      <c r="AG21" s="64"/>
      <c r="AH21" s="64"/>
      <c r="AI21" s="64"/>
      <c r="AJ21" s="65" t="e">
        <f t="shared" si="5"/>
        <v>#REF!</v>
      </c>
      <c r="AK21" s="98"/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>
        <v>5</v>
      </c>
      <c r="F22" s="64"/>
      <c r="G22" s="64">
        <v>5</v>
      </c>
      <c r="H22" s="64">
        <v>3</v>
      </c>
      <c r="I22" s="64">
        <v>3</v>
      </c>
      <c r="J22" s="64">
        <v>2</v>
      </c>
      <c r="K22" s="64"/>
      <c r="L22" s="64"/>
      <c r="M22" s="64">
        <v>4</v>
      </c>
      <c r="N22" s="64">
        <v>3</v>
      </c>
      <c r="O22" s="64">
        <v>4</v>
      </c>
      <c r="P22" s="64"/>
      <c r="Q22" s="64">
        <v>4</v>
      </c>
      <c r="R22" s="64">
        <v>8</v>
      </c>
      <c r="S22" s="64">
        <v>5</v>
      </c>
      <c r="T22" s="64"/>
      <c r="U22" s="64">
        <v>7</v>
      </c>
      <c r="V22" s="64">
        <v>6</v>
      </c>
      <c r="W22" s="64">
        <v>6</v>
      </c>
      <c r="X22" s="64">
        <v>5</v>
      </c>
      <c r="Y22" s="64">
        <v>2</v>
      </c>
      <c r="Z22" s="64"/>
      <c r="AA22" s="64"/>
      <c r="AB22" s="64">
        <v>4</v>
      </c>
      <c r="AC22" s="64">
        <v>4</v>
      </c>
      <c r="AD22" s="64">
        <v>4</v>
      </c>
      <c r="AE22" s="64"/>
      <c r="AF22" s="64">
        <v>6</v>
      </c>
      <c r="AG22" s="64"/>
      <c r="AH22" s="64"/>
      <c r="AI22" s="64"/>
      <c r="AJ22" s="65" t="e">
        <f t="shared" si="5"/>
        <v>#REF!</v>
      </c>
      <c r="AK22" s="98"/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>
        <v>5</v>
      </c>
      <c r="F23" s="64"/>
      <c r="G23" s="64">
        <v>5</v>
      </c>
      <c r="H23" s="64">
        <v>3</v>
      </c>
      <c r="I23" s="64">
        <v>3</v>
      </c>
      <c r="J23" s="64">
        <v>2</v>
      </c>
      <c r="K23" s="64"/>
      <c r="L23" s="64"/>
      <c r="M23" s="64">
        <v>4</v>
      </c>
      <c r="N23" s="64">
        <v>3</v>
      </c>
      <c r="O23" s="64">
        <v>4</v>
      </c>
      <c r="P23" s="64"/>
      <c r="Q23" s="64">
        <v>4</v>
      </c>
      <c r="R23" s="64">
        <v>8</v>
      </c>
      <c r="S23" s="64">
        <v>5</v>
      </c>
      <c r="T23" s="64"/>
      <c r="U23" s="64">
        <v>7</v>
      </c>
      <c r="V23" s="64">
        <v>6</v>
      </c>
      <c r="W23" s="64">
        <v>6</v>
      </c>
      <c r="X23" s="64">
        <v>5</v>
      </c>
      <c r="Y23" s="64">
        <v>2</v>
      </c>
      <c r="Z23" s="64"/>
      <c r="AA23" s="64"/>
      <c r="AB23" s="64">
        <v>4</v>
      </c>
      <c r="AC23" s="64">
        <v>4</v>
      </c>
      <c r="AD23" s="64">
        <v>4</v>
      </c>
      <c r="AE23" s="64"/>
      <c r="AF23" s="64">
        <v>6</v>
      </c>
      <c r="AG23" s="64"/>
      <c r="AH23" s="64"/>
      <c r="AI23" s="64"/>
      <c r="AJ23" s="65" t="e">
        <f t="shared" si="5"/>
        <v>#REF!</v>
      </c>
      <c r="AK23" s="98"/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>
        <v>0</v>
      </c>
      <c r="F24" s="64"/>
      <c r="G24" s="64">
        <v>0</v>
      </c>
      <c r="H24" s="64">
        <v>0</v>
      </c>
      <c r="I24" s="64">
        <v>0</v>
      </c>
      <c r="J24" s="64">
        <v>0</v>
      </c>
      <c r="K24" s="64"/>
      <c r="L24" s="64"/>
      <c r="M24" s="64">
        <v>9</v>
      </c>
      <c r="N24" s="64">
        <v>0</v>
      </c>
      <c r="O24" s="64">
        <v>0</v>
      </c>
      <c r="P24" s="64"/>
      <c r="Q24" s="64">
        <v>0</v>
      </c>
      <c r="R24" s="64">
        <v>0</v>
      </c>
      <c r="S24" s="64">
        <v>0</v>
      </c>
      <c r="T24" s="64"/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>
        <v>0</v>
      </c>
      <c r="AC24" s="64">
        <v>0</v>
      </c>
      <c r="AD24" s="64">
        <v>0</v>
      </c>
      <c r="AE24" s="64"/>
      <c r="AF24" s="64">
        <v>0</v>
      </c>
      <c r="AG24" s="64"/>
      <c r="AH24" s="64"/>
      <c r="AI24" s="64"/>
      <c r="AJ24" s="65" t="e">
        <f t="shared" si="5"/>
        <v>#REF!</v>
      </c>
      <c r="AK24" s="98"/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38</v>
      </c>
      <c r="C25" s="48"/>
      <c r="D25" s="84">
        <v>100</v>
      </c>
      <c r="E25" s="64">
        <v>0</v>
      </c>
      <c r="F25" s="64"/>
      <c r="G25" s="64">
        <v>0</v>
      </c>
      <c r="H25" s="64">
        <v>0</v>
      </c>
      <c r="I25" s="64">
        <v>0</v>
      </c>
      <c r="J25" s="64">
        <v>0</v>
      </c>
      <c r="K25" s="64"/>
      <c r="L25" s="64"/>
      <c r="M25" s="64">
        <v>9</v>
      </c>
      <c r="N25" s="64">
        <v>0</v>
      </c>
      <c r="O25" s="64">
        <v>0</v>
      </c>
      <c r="P25" s="64"/>
      <c r="Q25" s="64">
        <v>0</v>
      </c>
      <c r="R25" s="64">
        <v>0</v>
      </c>
      <c r="S25" s="64">
        <v>0</v>
      </c>
      <c r="T25" s="64"/>
      <c r="U25" s="64">
        <v>0</v>
      </c>
      <c r="V25" s="64">
        <v>0</v>
      </c>
      <c r="W25" s="64">
        <v>0</v>
      </c>
      <c r="X25" s="64">
        <v>5</v>
      </c>
      <c r="Y25" s="64">
        <v>0</v>
      </c>
      <c r="Z25" s="64"/>
      <c r="AA25" s="64"/>
      <c r="AB25" s="64">
        <v>0</v>
      </c>
      <c r="AC25" s="64">
        <v>0</v>
      </c>
      <c r="AD25" s="64">
        <v>0</v>
      </c>
      <c r="AE25" s="64"/>
      <c r="AF25" s="64">
        <v>0</v>
      </c>
      <c r="AG25" s="64"/>
      <c r="AH25" s="64"/>
      <c r="AI25" s="64"/>
      <c r="AJ25" s="65" t="e">
        <f t="shared" si="5"/>
        <v>#REF!</v>
      </c>
      <c r="AK25" s="98"/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>
        <v>0</v>
      </c>
      <c r="F26" s="64"/>
      <c r="G26" s="64">
        <v>0</v>
      </c>
      <c r="H26" s="64">
        <v>0</v>
      </c>
      <c r="I26" s="64">
        <v>0</v>
      </c>
      <c r="J26" s="64">
        <v>0</v>
      </c>
      <c r="K26" s="64"/>
      <c r="L26" s="64"/>
      <c r="M26" s="64">
        <v>9</v>
      </c>
      <c r="N26" s="64">
        <v>0</v>
      </c>
      <c r="O26" s="64">
        <v>0</v>
      </c>
      <c r="P26" s="64"/>
      <c r="Q26" s="64">
        <v>0</v>
      </c>
      <c r="R26" s="64">
        <v>0</v>
      </c>
      <c r="S26" s="64">
        <v>0</v>
      </c>
      <c r="T26" s="64"/>
      <c r="U26" s="64">
        <v>0</v>
      </c>
      <c r="V26" s="64">
        <v>0</v>
      </c>
      <c r="W26" s="64">
        <v>0</v>
      </c>
      <c r="X26" s="64">
        <v>5</v>
      </c>
      <c r="Y26" s="64">
        <v>0</v>
      </c>
      <c r="Z26" s="64"/>
      <c r="AA26" s="64"/>
      <c r="AB26" s="64">
        <v>0</v>
      </c>
      <c r="AC26" s="64">
        <v>0</v>
      </c>
      <c r="AD26" s="64">
        <v>0</v>
      </c>
      <c r="AE26" s="64"/>
      <c r="AF26" s="64">
        <v>0</v>
      </c>
      <c r="AG26" s="64"/>
      <c r="AH26" s="64"/>
      <c r="AI26" s="64"/>
      <c r="AJ26" s="65" t="e">
        <f t="shared" si="5"/>
        <v>#REF!</v>
      </c>
      <c r="AK26" s="98"/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4.375</v>
      </c>
      <c r="F27" s="34">
        <f t="shared" ref="F27:AJ27" si="7">SUM(F19:F26)/8</f>
        <v>0</v>
      </c>
      <c r="G27" s="34">
        <f t="shared" si="7"/>
        <v>4.375</v>
      </c>
      <c r="H27" s="34">
        <f t="shared" si="7"/>
        <v>2.625</v>
      </c>
      <c r="I27" s="34">
        <f t="shared" si="7"/>
        <v>2.625</v>
      </c>
      <c r="J27" s="34">
        <f t="shared" si="7"/>
        <v>1.5</v>
      </c>
      <c r="K27" s="34">
        <f t="shared" si="7"/>
        <v>0</v>
      </c>
      <c r="L27" s="34">
        <f t="shared" si="7"/>
        <v>0</v>
      </c>
      <c r="M27" s="34">
        <f t="shared" si="7"/>
        <v>6.875</v>
      </c>
      <c r="N27" s="34">
        <f t="shared" si="7"/>
        <v>2.625</v>
      </c>
      <c r="O27" s="34">
        <f t="shared" si="7"/>
        <v>3.5</v>
      </c>
      <c r="P27" s="34">
        <f t="shared" si="7"/>
        <v>0</v>
      </c>
      <c r="Q27" s="34">
        <f t="shared" si="7"/>
        <v>3.5</v>
      </c>
      <c r="R27" s="34">
        <f t="shared" si="7"/>
        <v>7</v>
      </c>
      <c r="S27" s="34">
        <f t="shared" si="7"/>
        <v>4.375</v>
      </c>
      <c r="T27" s="34">
        <f t="shared" si="7"/>
        <v>0</v>
      </c>
      <c r="U27" s="34">
        <f t="shared" si="7"/>
        <v>6.125</v>
      </c>
      <c r="V27" s="34">
        <f t="shared" si="7"/>
        <v>5.25</v>
      </c>
      <c r="W27" s="34">
        <f t="shared" si="7"/>
        <v>5.25</v>
      </c>
      <c r="X27" s="34">
        <f t="shared" si="7"/>
        <v>5.625</v>
      </c>
      <c r="Y27" s="34">
        <f t="shared" si="7"/>
        <v>1.75</v>
      </c>
      <c r="Z27" s="34">
        <f t="shared" si="7"/>
        <v>0</v>
      </c>
      <c r="AA27" s="34">
        <f t="shared" si="7"/>
        <v>0</v>
      </c>
      <c r="AB27" s="34">
        <f t="shared" si="7"/>
        <v>3.5</v>
      </c>
      <c r="AC27" s="34">
        <f t="shared" si="7"/>
        <v>3.5</v>
      </c>
      <c r="AD27" s="34">
        <f t="shared" si="7"/>
        <v>3.5</v>
      </c>
      <c r="AE27" s="34">
        <f t="shared" si="7"/>
        <v>0</v>
      </c>
      <c r="AF27" s="34">
        <f t="shared" si="7"/>
        <v>5.25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K27" s="98"/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K28" s="101"/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40" zoomScaleNormal="40" workbookViewId="0">
      <selection activeCell="AL7" sqref="AL7:AM28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39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>
        <v>0</v>
      </c>
      <c r="G10" s="64"/>
      <c r="H10" s="64"/>
      <c r="I10" s="64">
        <v>0</v>
      </c>
      <c r="J10" s="64">
        <v>0</v>
      </c>
      <c r="K10" s="64">
        <v>0</v>
      </c>
      <c r="L10" s="64">
        <v>0</v>
      </c>
      <c r="M10" s="64"/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/>
      <c r="U10" s="64"/>
      <c r="V10" s="64">
        <v>0</v>
      </c>
      <c r="W10" s="64">
        <v>0</v>
      </c>
      <c r="X10" s="64">
        <v>0</v>
      </c>
      <c r="Y10" s="64"/>
      <c r="Z10" s="64">
        <v>0</v>
      </c>
      <c r="AA10" s="64">
        <v>0</v>
      </c>
      <c r="AB10" s="64"/>
      <c r="AC10" s="64"/>
      <c r="AD10" s="64">
        <v>0</v>
      </c>
      <c r="AE10" s="64">
        <v>0</v>
      </c>
      <c r="AF10" s="64">
        <v>0</v>
      </c>
      <c r="AG10" s="64">
        <v>0</v>
      </c>
      <c r="AH10" s="64"/>
      <c r="AI10" s="64">
        <v>0</v>
      </c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>
        <v>0</v>
      </c>
      <c r="F11" s="64">
        <v>0</v>
      </c>
      <c r="G11" s="64"/>
      <c r="H11" s="64"/>
      <c r="I11" s="64">
        <v>0</v>
      </c>
      <c r="J11" s="64">
        <v>0</v>
      </c>
      <c r="K11" s="64">
        <v>0</v>
      </c>
      <c r="L11" s="64">
        <v>0</v>
      </c>
      <c r="M11" s="64"/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/>
      <c r="U11" s="64"/>
      <c r="V11" s="64">
        <v>0</v>
      </c>
      <c r="W11" s="64">
        <v>0</v>
      </c>
      <c r="X11" s="64">
        <v>0</v>
      </c>
      <c r="Y11" s="64"/>
      <c r="Z11" s="64">
        <v>0</v>
      </c>
      <c r="AA11" s="64">
        <v>0</v>
      </c>
      <c r="AB11" s="64"/>
      <c r="AC11" s="64"/>
      <c r="AD11" s="64">
        <v>0</v>
      </c>
      <c r="AE11" s="64">
        <v>0</v>
      </c>
      <c r="AF11" s="64">
        <v>0</v>
      </c>
      <c r="AG11" s="64">
        <v>0</v>
      </c>
      <c r="AH11" s="64"/>
      <c r="AI11" s="64">
        <v>0</v>
      </c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3</v>
      </c>
      <c r="F12" s="64">
        <v>6</v>
      </c>
      <c r="G12" s="64"/>
      <c r="H12" s="64"/>
      <c r="I12" s="64">
        <v>3</v>
      </c>
      <c r="J12" s="64">
        <v>7</v>
      </c>
      <c r="K12" s="64">
        <v>6</v>
      </c>
      <c r="L12" s="64">
        <v>7</v>
      </c>
      <c r="M12" s="64"/>
      <c r="N12" s="64">
        <v>4</v>
      </c>
      <c r="O12" s="64">
        <v>4</v>
      </c>
      <c r="P12" s="64">
        <v>4</v>
      </c>
      <c r="Q12" s="64">
        <v>3</v>
      </c>
      <c r="R12" s="64">
        <v>2</v>
      </c>
      <c r="S12" s="64">
        <v>3</v>
      </c>
      <c r="T12" s="64"/>
      <c r="U12" s="64"/>
      <c r="V12" s="64">
        <v>3</v>
      </c>
      <c r="W12" s="64">
        <v>3</v>
      </c>
      <c r="X12" s="64">
        <v>3</v>
      </c>
      <c r="Y12" s="64"/>
      <c r="Z12" s="64">
        <v>2</v>
      </c>
      <c r="AA12" s="64">
        <v>2</v>
      </c>
      <c r="AB12" s="64"/>
      <c r="AC12" s="64"/>
      <c r="AD12" s="64">
        <v>3</v>
      </c>
      <c r="AE12" s="64">
        <v>4</v>
      </c>
      <c r="AF12" s="64">
        <v>5</v>
      </c>
      <c r="AG12" s="64">
        <v>5</v>
      </c>
      <c r="AH12" s="64"/>
      <c r="AI12" s="64">
        <v>7</v>
      </c>
      <c r="AJ12" s="65">
        <f t="shared" si="1"/>
        <v>1.27142857142857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1</v>
      </c>
      <c r="F13" s="34">
        <f t="shared" ref="F13:AJ13" si="2">SUM(F10:F12)/3</f>
        <v>2</v>
      </c>
      <c r="G13" s="34">
        <f t="shared" si="2"/>
        <v>0</v>
      </c>
      <c r="H13" s="34">
        <f t="shared" si="2"/>
        <v>0</v>
      </c>
      <c r="I13" s="34">
        <f t="shared" si="2"/>
        <v>1</v>
      </c>
      <c r="J13" s="34">
        <f t="shared" si="2"/>
        <v>2.33333333333333</v>
      </c>
      <c r="K13" s="34">
        <f t="shared" si="2"/>
        <v>2</v>
      </c>
      <c r="L13" s="34">
        <f t="shared" si="2"/>
        <v>2.33333333333333</v>
      </c>
      <c r="M13" s="34">
        <f t="shared" si="2"/>
        <v>0</v>
      </c>
      <c r="N13" s="34">
        <f t="shared" si="2"/>
        <v>1.33333333333333</v>
      </c>
      <c r="O13" s="34">
        <f t="shared" si="2"/>
        <v>1.33333333333333</v>
      </c>
      <c r="P13" s="34">
        <f t="shared" si="2"/>
        <v>1.33333333333333</v>
      </c>
      <c r="Q13" s="34">
        <f t="shared" si="2"/>
        <v>1</v>
      </c>
      <c r="R13" s="34">
        <f t="shared" si="2"/>
        <v>0.666666666666667</v>
      </c>
      <c r="S13" s="34">
        <v>0</v>
      </c>
      <c r="T13" s="34">
        <f t="shared" si="2"/>
        <v>0</v>
      </c>
      <c r="U13" s="34">
        <f t="shared" si="2"/>
        <v>0</v>
      </c>
      <c r="V13" s="34">
        <f t="shared" si="2"/>
        <v>1</v>
      </c>
      <c r="W13" s="34">
        <f t="shared" si="2"/>
        <v>1</v>
      </c>
      <c r="X13" s="34">
        <f t="shared" si="2"/>
        <v>1</v>
      </c>
      <c r="Y13" s="34">
        <f t="shared" si="2"/>
        <v>0</v>
      </c>
      <c r="Z13" s="34">
        <f t="shared" si="2"/>
        <v>0.666666666666667</v>
      </c>
      <c r="AA13" s="34">
        <f t="shared" si="2"/>
        <v>0.666666666666667</v>
      </c>
      <c r="AB13" s="34">
        <f t="shared" si="2"/>
        <v>0</v>
      </c>
      <c r="AC13" s="34">
        <f t="shared" si="2"/>
        <v>0</v>
      </c>
      <c r="AD13" s="34">
        <f t="shared" si="2"/>
        <v>1</v>
      </c>
      <c r="AE13" s="34">
        <f t="shared" si="2"/>
        <v>1.33333333333333</v>
      </c>
      <c r="AF13" s="34">
        <f t="shared" si="2"/>
        <v>1.66666666666667</v>
      </c>
      <c r="AG13" s="34">
        <f t="shared" si="2"/>
        <v>1.66666666666667</v>
      </c>
      <c r="AH13" s="34">
        <f t="shared" si="2"/>
        <v>0</v>
      </c>
      <c r="AI13" s="34">
        <f t="shared" si="2"/>
        <v>2.33333333333333</v>
      </c>
      <c r="AJ13" s="42">
        <f t="shared" si="2"/>
        <v>0.423809523809524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3</v>
      </c>
      <c r="F15" s="64">
        <v>6</v>
      </c>
      <c r="G15" s="64"/>
      <c r="H15" s="64"/>
      <c r="I15" s="64">
        <v>3</v>
      </c>
      <c r="J15" s="64">
        <v>7</v>
      </c>
      <c r="K15" s="64">
        <v>6</v>
      </c>
      <c r="L15" s="64">
        <v>7</v>
      </c>
      <c r="M15" s="64"/>
      <c r="N15" s="64">
        <v>4</v>
      </c>
      <c r="O15" s="64">
        <v>4</v>
      </c>
      <c r="P15" s="64">
        <v>4</v>
      </c>
      <c r="Q15" s="64">
        <v>3</v>
      </c>
      <c r="R15" s="64">
        <v>2</v>
      </c>
      <c r="S15" s="64">
        <v>3</v>
      </c>
      <c r="T15" s="64"/>
      <c r="U15" s="64"/>
      <c r="V15" s="64">
        <v>3</v>
      </c>
      <c r="W15" s="64">
        <v>3</v>
      </c>
      <c r="X15" s="64">
        <v>3</v>
      </c>
      <c r="Y15" s="64"/>
      <c r="Z15" s="64">
        <v>2</v>
      </c>
      <c r="AA15" s="64">
        <v>2</v>
      </c>
      <c r="AB15" s="64"/>
      <c r="AC15" s="64"/>
      <c r="AD15" s="64">
        <v>3</v>
      </c>
      <c r="AE15" s="64">
        <v>4</v>
      </c>
      <c r="AF15" s="64">
        <v>5</v>
      </c>
      <c r="AG15" s="64">
        <v>5</v>
      </c>
      <c r="AH15" s="64"/>
      <c r="AI15" s="64">
        <v>7</v>
      </c>
      <c r="AJ15" s="65">
        <f>SUM(E15:AI15)/AM15*10/100</f>
        <v>0.317857142857143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>
        <v>3</v>
      </c>
      <c r="F16" s="64">
        <v>6</v>
      </c>
      <c r="G16" s="64"/>
      <c r="H16" s="64"/>
      <c r="I16" s="64">
        <v>3</v>
      </c>
      <c r="J16" s="64">
        <v>7</v>
      </c>
      <c r="K16" s="64">
        <v>6</v>
      </c>
      <c r="L16" s="64">
        <v>7</v>
      </c>
      <c r="M16" s="64"/>
      <c r="N16" s="64">
        <v>4</v>
      </c>
      <c r="O16" s="64">
        <v>4</v>
      </c>
      <c r="P16" s="64">
        <v>4</v>
      </c>
      <c r="Q16" s="64">
        <v>3</v>
      </c>
      <c r="R16" s="64">
        <v>2</v>
      </c>
      <c r="S16" s="64">
        <v>3</v>
      </c>
      <c r="T16" s="64"/>
      <c r="U16" s="64"/>
      <c r="V16" s="64">
        <v>3</v>
      </c>
      <c r="W16" s="64">
        <v>3</v>
      </c>
      <c r="X16" s="64">
        <v>3</v>
      </c>
      <c r="Y16" s="64"/>
      <c r="Z16" s="64">
        <v>2</v>
      </c>
      <c r="AA16" s="64">
        <v>2</v>
      </c>
      <c r="AB16" s="64"/>
      <c r="AC16" s="64"/>
      <c r="AD16" s="64">
        <v>3</v>
      </c>
      <c r="AE16" s="64">
        <v>4</v>
      </c>
      <c r="AF16" s="64">
        <v>5</v>
      </c>
      <c r="AG16" s="64">
        <v>5</v>
      </c>
      <c r="AH16" s="64"/>
      <c r="AI16" s="64">
        <v>7</v>
      </c>
      <c r="AJ16" s="65">
        <f t="shared" ref="AJ16" si="3">SUM(E16:AI16)/AM16*10/100</f>
        <v>0.317857142857143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2</v>
      </c>
      <c r="F17" s="34">
        <f t="shared" si="4"/>
        <v>4</v>
      </c>
      <c r="G17" s="34">
        <f t="shared" si="4"/>
        <v>0</v>
      </c>
      <c r="H17" s="34">
        <f t="shared" si="4"/>
        <v>0</v>
      </c>
      <c r="I17" s="34">
        <f t="shared" si="4"/>
        <v>2</v>
      </c>
      <c r="J17" s="34">
        <f t="shared" si="4"/>
        <v>4.66666666666667</v>
      </c>
      <c r="K17" s="34">
        <f t="shared" si="4"/>
        <v>4</v>
      </c>
      <c r="L17" s="34">
        <f t="shared" si="4"/>
        <v>4.66666666666667</v>
      </c>
      <c r="M17" s="34">
        <f t="shared" si="4"/>
        <v>0</v>
      </c>
      <c r="N17" s="34">
        <f t="shared" si="4"/>
        <v>2.66666666666667</v>
      </c>
      <c r="O17" s="34">
        <f t="shared" si="4"/>
        <v>2.66666666666667</v>
      </c>
      <c r="P17" s="34">
        <f t="shared" si="4"/>
        <v>2.66666666666667</v>
      </c>
      <c r="Q17" s="34">
        <f t="shared" si="4"/>
        <v>2</v>
      </c>
      <c r="R17" s="34">
        <f t="shared" si="4"/>
        <v>1.33333333333333</v>
      </c>
      <c r="S17" s="34">
        <f t="shared" si="4"/>
        <v>2</v>
      </c>
      <c r="T17" s="34">
        <f t="shared" si="4"/>
        <v>0</v>
      </c>
      <c r="U17" s="34">
        <f t="shared" si="4"/>
        <v>0</v>
      </c>
      <c r="V17" s="34">
        <f t="shared" si="4"/>
        <v>2</v>
      </c>
      <c r="W17" s="34">
        <f t="shared" si="4"/>
        <v>2</v>
      </c>
      <c r="X17" s="34">
        <f t="shared" si="4"/>
        <v>2</v>
      </c>
      <c r="Y17" s="34">
        <f t="shared" si="4"/>
        <v>0</v>
      </c>
      <c r="Z17" s="34">
        <f t="shared" si="4"/>
        <v>1.33333333333333</v>
      </c>
      <c r="AA17" s="34">
        <f t="shared" si="4"/>
        <v>1.33333333333333</v>
      </c>
      <c r="AB17" s="34">
        <f t="shared" si="4"/>
        <v>0</v>
      </c>
      <c r="AC17" s="34">
        <f t="shared" si="4"/>
        <v>0</v>
      </c>
      <c r="AD17" s="34">
        <f t="shared" si="4"/>
        <v>2</v>
      </c>
      <c r="AE17" s="34">
        <f t="shared" si="4"/>
        <v>2.66666666666667</v>
      </c>
      <c r="AF17" s="34">
        <f t="shared" si="4"/>
        <v>3.33333333333333</v>
      </c>
      <c r="AG17" s="34">
        <f t="shared" si="4"/>
        <v>3.33333333333333</v>
      </c>
      <c r="AH17" s="34">
        <f t="shared" si="4"/>
        <v>0</v>
      </c>
      <c r="AI17" s="34">
        <f t="shared" si="4"/>
        <v>4.66666666666667</v>
      </c>
      <c r="AJ17" s="42">
        <f t="shared" si="4"/>
        <v>0.211904761904762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>
        <v>3</v>
      </c>
      <c r="F19" s="64">
        <v>6</v>
      </c>
      <c r="G19" s="64"/>
      <c r="H19" s="64"/>
      <c r="I19" s="64">
        <v>3</v>
      </c>
      <c r="J19" s="64">
        <v>7</v>
      </c>
      <c r="K19" s="64">
        <v>6</v>
      </c>
      <c r="L19" s="64">
        <v>7</v>
      </c>
      <c r="M19" s="64"/>
      <c r="N19" s="64">
        <v>4</v>
      </c>
      <c r="O19" s="64">
        <v>4</v>
      </c>
      <c r="P19" s="64">
        <v>4</v>
      </c>
      <c r="Q19" s="64">
        <v>3</v>
      </c>
      <c r="R19" s="64">
        <v>2</v>
      </c>
      <c r="S19" s="64">
        <v>3</v>
      </c>
      <c r="T19" s="64"/>
      <c r="U19" s="64"/>
      <c r="V19" s="64">
        <v>3</v>
      </c>
      <c r="W19" s="64">
        <v>3</v>
      </c>
      <c r="X19" s="64">
        <v>3</v>
      </c>
      <c r="Y19" s="64"/>
      <c r="Z19" s="64">
        <v>2</v>
      </c>
      <c r="AA19" s="64">
        <v>2</v>
      </c>
      <c r="AB19" s="64"/>
      <c r="AC19" s="64"/>
      <c r="AD19" s="64">
        <v>3</v>
      </c>
      <c r="AE19" s="64">
        <v>4</v>
      </c>
      <c r="AF19" s="64">
        <v>5</v>
      </c>
      <c r="AG19" s="64">
        <v>5</v>
      </c>
      <c r="AH19" s="64"/>
      <c r="AI19" s="64">
        <v>7</v>
      </c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>
        <v>6</v>
      </c>
      <c r="F20" s="64">
        <v>12</v>
      </c>
      <c r="G20" s="64"/>
      <c r="H20" s="64"/>
      <c r="I20" s="64">
        <v>6</v>
      </c>
      <c r="J20" s="64">
        <v>14</v>
      </c>
      <c r="K20" s="64">
        <v>12</v>
      </c>
      <c r="L20" s="64">
        <v>14</v>
      </c>
      <c r="M20" s="64"/>
      <c r="N20" s="64">
        <v>8</v>
      </c>
      <c r="O20" s="64">
        <v>8</v>
      </c>
      <c r="P20" s="64">
        <v>8</v>
      </c>
      <c r="Q20" s="64">
        <v>6</v>
      </c>
      <c r="R20" s="64">
        <v>4</v>
      </c>
      <c r="S20" s="64">
        <v>6</v>
      </c>
      <c r="T20" s="64"/>
      <c r="U20" s="64"/>
      <c r="V20" s="64">
        <v>6</v>
      </c>
      <c r="W20" s="64">
        <v>6</v>
      </c>
      <c r="X20" s="64">
        <v>6</v>
      </c>
      <c r="Y20" s="64"/>
      <c r="Z20" s="64">
        <v>4</v>
      </c>
      <c r="AA20" s="64">
        <v>4</v>
      </c>
      <c r="AB20" s="64"/>
      <c r="AC20" s="64"/>
      <c r="AD20" s="64">
        <v>6</v>
      </c>
      <c r="AE20" s="64">
        <v>8</v>
      </c>
      <c r="AF20" s="64">
        <v>10</v>
      </c>
      <c r="AG20" s="64">
        <v>10</v>
      </c>
      <c r="AH20" s="64"/>
      <c r="AI20" s="64">
        <v>14</v>
      </c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>
        <v>6</v>
      </c>
      <c r="F21" s="64">
        <v>12</v>
      </c>
      <c r="G21" s="64"/>
      <c r="H21" s="64"/>
      <c r="I21" s="64">
        <v>6</v>
      </c>
      <c r="J21" s="64">
        <v>14</v>
      </c>
      <c r="K21" s="64">
        <v>2</v>
      </c>
      <c r="L21" s="64">
        <v>14</v>
      </c>
      <c r="M21" s="64"/>
      <c r="N21" s="64">
        <v>8</v>
      </c>
      <c r="O21" s="64">
        <v>8</v>
      </c>
      <c r="P21" s="64">
        <v>8</v>
      </c>
      <c r="Q21" s="64">
        <v>6</v>
      </c>
      <c r="R21" s="64">
        <v>4</v>
      </c>
      <c r="S21" s="64">
        <v>6</v>
      </c>
      <c r="T21" s="64"/>
      <c r="U21" s="64"/>
      <c r="V21" s="64">
        <v>6</v>
      </c>
      <c r="W21" s="64">
        <v>6</v>
      </c>
      <c r="X21" s="64">
        <v>6</v>
      </c>
      <c r="Y21" s="64"/>
      <c r="Z21" s="64">
        <v>4</v>
      </c>
      <c r="AA21" s="64">
        <v>4</v>
      </c>
      <c r="AB21" s="64"/>
      <c r="AC21" s="64"/>
      <c r="AD21" s="64">
        <v>6</v>
      </c>
      <c r="AE21" s="64">
        <v>8</v>
      </c>
      <c r="AF21" s="64">
        <v>10</v>
      </c>
      <c r="AG21" s="64">
        <v>10</v>
      </c>
      <c r="AH21" s="64"/>
      <c r="AI21" s="64">
        <v>14</v>
      </c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>
        <v>3</v>
      </c>
      <c r="F22" s="64">
        <v>6</v>
      </c>
      <c r="G22" s="64"/>
      <c r="H22" s="64"/>
      <c r="I22" s="64">
        <v>3</v>
      </c>
      <c r="J22" s="64">
        <v>7</v>
      </c>
      <c r="K22" s="64">
        <v>6</v>
      </c>
      <c r="L22" s="64">
        <v>7</v>
      </c>
      <c r="M22" s="64"/>
      <c r="N22" s="64">
        <v>4</v>
      </c>
      <c r="O22" s="64">
        <v>4</v>
      </c>
      <c r="P22" s="64">
        <v>4</v>
      </c>
      <c r="Q22" s="64">
        <v>3</v>
      </c>
      <c r="R22" s="64">
        <v>2</v>
      </c>
      <c r="S22" s="64">
        <v>3</v>
      </c>
      <c r="T22" s="64"/>
      <c r="U22" s="64"/>
      <c r="V22" s="64">
        <v>3</v>
      </c>
      <c r="W22" s="64">
        <v>3</v>
      </c>
      <c r="X22" s="64">
        <v>3</v>
      </c>
      <c r="Y22" s="64"/>
      <c r="Z22" s="64">
        <v>2</v>
      </c>
      <c r="AA22" s="64">
        <v>2</v>
      </c>
      <c r="AB22" s="64"/>
      <c r="AC22" s="64"/>
      <c r="AD22" s="64">
        <v>3</v>
      </c>
      <c r="AE22" s="64">
        <v>4</v>
      </c>
      <c r="AF22" s="64">
        <v>5</v>
      </c>
      <c r="AG22" s="64">
        <v>5</v>
      </c>
      <c r="AH22" s="64"/>
      <c r="AI22" s="64">
        <v>7</v>
      </c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>
        <v>3</v>
      </c>
      <c r="F23" s="64">
        <v>6</v>
      </c>
      <c r="G23" s="64"/>
      <c r="H23" s="64"/>
      <c r="I23" s="64">
        <v>3</v>
      </c>
      <c r="J23" s="64">
        <v>7</v>
      </c>
      <c r="K23" s="64">
        <v>6</v>
      </c>
      <c r="L23" s="64">
        <v>7</v>
      </c>
      <c r="M23" s="64"/>
      <c r="N23" s="64">
        <v>4</v>
      </c>
      <c r="O23" s="64">
        <v>4</v>
      </c>
      <c r="P23" s="64">
        <v>4</v>
      </c>
      <c r="Q23" s="64">
        <v>3</v>
      </c>
      <c r="R23" s="64">
        <v>2</v>
      </c>
      <c r="S23" s="64">
        <v>3</v>
      </c>
      <c r="T23" s="64"/>
      <c r="U23" s="64"/>
      <c r="V23" s="64">
        <v>3</v>
      </c>
      <c r="W23" s="64">
        <v>3</v>
      </c>
      <c r="X23" s="64">
        <v>3</v>
      </c>
      <c r="Y23" s="64"/>
      <c r="Z23" s="64">
        <v>2</v>
      </c>
      <c r="AA23" s="64">
        <v>2</v>
      </c>
      <c r="AB23" s="64"/>
      <c r="AC23" s="64"/>
      <c r="AD23" s="64">
        <v>3</v>
      </c>
      <c r="AE23" s="64">
        <v>4</v>
      </c>
      <c r="AF23" s="64">
        <v>5</v>
      </c>
      <c r="AG23" s="64">
        <v>5</v>
      </c>
      <c r="AH23" s="64"/>
      <c r="AI23" s="64">
        <v>7</v>
      </c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>
        <v>0</v>
      </c>
      <c r="F24" s="64">
        <v>0</v>
      </c>
      <c r="G24" s="64"/>
      <c r="H24" s="64"/>
      <c r="I24" s="64">
        <v>0</v>
      </c>
      <c r="J24" s="64">
        <v>0</v>
      </c>
      <c r="K24" s="64">
        <v>0</v>
      </c>
      <c r="L24" s="64">
        <v>0</v>
      </c>
      <c r="M24" s="64"/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/>
      <c r="U24" s="64"/>
      <c r="V24" s="64">
        <v>0</v>
      </c>
      <c r="W24" s="64">
        <v>0</v>
      </c>
      <c r="X24" s="64">
        <v>0</v>
      </c>
      <c r="Y24" s="64"/>
      <c r="Z24" s="64">
        <v>0</v>
      </c>
      <c r="AA24" s="64">
        <v>0</v>
      </c>
      <c r="AB24" s="64"/>
      <c r="AC24" s="64"/>
      <c r="AD24" s="64">
        <v>0</v>
      </c>
      <c r="AE24" s="64">
        <v>0</v>
      </c>
      <c r="AF24" s="64">
        <v>0</v>
      </c>
      <c r="AG24" s="64">
        <v>0</v>
      </c>
      <c r="AH24" s="64"/>
      <c r="AI24" s="64">
        <v>0</v>
      </c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>
        <v>0</v>
      </c>
      <c r="F25" s="64">
        <v>0</v>
      </c>
      <c r="G25" s="64"/>
      <c r="H25" s="64"/>
      <c r="I25" s="64">
        <v>0</v>
      </c>
      <c r="J25" s="64">
        <v>0</v>
      </c>
      <c r="K25" s="64">
        <v>0</v>
      </c>
      <c r="L25" s="64">
        <v>0</v>
      </c>
      <c r="M25" s="64"/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/>
      <c r="U25" s="64"/>
      <c r="V25" s="64">
        <v>0</v>
      </c>
      <c r="W25" s="64">
        <v>0</v>
      </c>
      <c r="X25" s="64">
        <v>0</v>
      </c>
      <c r="Y25" s="64"/>
      <c r="Z25" s="64">
        <v>0</v>
      </c>
      <c r="AA25" s="64">
        <v>0</v>
      </c>
      <c r="AB25" s="64"/>
      <c r="AC25" s="64"/>
      <c r="AD25" s="64">
        <v>0</v>
      </c>
      <c r="AE25" s="64">
        <v>0</v>
      </c>
      <c r="AF25" s="64">
        <v>0</v>
      </c>
      <c r="AG25" s="64">
        <v>0</v>
      </c>
      <c r="AH25" s="64"/>
      <c r="AI25" s="64">
        <v>0</v>
      </c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>
        <v>0</v>
      </c>
      <c r="F26" s="64">
        <v>0</v>
      </c>
      <c r="G26" s="64"/>
      <c r="H26" s="64"/>
      <c r="I26" s="64">
        <v>0</v>
      </c>
      <c r="J26" s="64">
        <v>0</v>
      </c>
      <c r="K26" s="64">
        <v>0</v>
      </c>
      <c r="L26" s="64">
        <v>0</v>
      </c>
      <c r="M26" s="64"/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/>
      <c r="U26" s="64"/>
      <c r="V26" s="64">
        <v>0</v>
      </c>
      <c r="W26" s="64">
        <v>0</v>
      </c>
      <c r="X26" s="64">
        <v>0</v>
      </c>
      <c r="Y26" s="64"/>
      <c r="Z26" s="64">
        <v>0</v>
      </c>
      <c r="AA26" s="64">
        <v>0</v>
      </c>
      <c r="AB26" s="64"/>
      <c r="AC26" s="64"/>
      <c r="AD26" s="64">
        <v>0</v>
      </c>
      <c r="AE26" s="64">
        <v>0</v>
      </c>
      <c r="AF26" s="64">
        <v>0</v>
      </c>
      <c r="AG26" s="64">
        <v>0</v>
      </c>
      <c r="AH26" s="64"/>
      <c r="AI26" s="64">
        <v>0</v>
      </c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2.625</v>
      </c>
      <c r="F27" s="34">
        <f t="shared" ref="F27:AJ27" si="7">SUM(F19:F26)/8</f>
        <v>5.25</v>
      </c>
      <c r="G27" s="34">
        <f t="shared" si="7"/>
        <v>0</v>
      </c>
      <c r="H27" s="34">
        <f t="shared" si="7"/>
        <v>0</v>
      </c>
      <c r="I27" s="34">
        <f t="shared" si="7"/>
        <v>2.625</v>
      </c>
      <c r="J27" s="34">
        <f t="shared" si="7"/>
        <v>6.125</v>
      </c>
      <c r="K27" s="34">
        <f t="shared" si="7"/>
        <v>4</v>
      </c>
      <c r="L27" s="34">
        <f t="shared" si="7"/>
        <v>6.125</v>
      </c>
      <c r="M27" s="34">
        <f t="shared" si="7"/>
        <v>0</v>
      </c>
      <c r="N27" s="34">
        <f t="shared" si="7"/>
        <v>3.5</v>
      </c>
      <c r="O27" s="34">
        <f t="shared" si="7"/>
        <v>3.5</v>
      </c>
      <c r="P27" s="34">
        <f t="shared" si="7"/>
        <v>3.5</v>
      </c>
      <c r="Q27" s="34">
        <f t="shared" si="7"/>
        <v>2.625</v>
      </c>
      <c r="R27" s="34">
        <f t="shared" si="7"/>
        <v>1.75</v>
      </c>
      <c r="S27" s="34">
        <f t="shared" si="7"/>
        <v>2.625</v>
      </c>
      <c r="T27" s="34">
        <f t="shared" si="7"/>
        <v>0</v>
      </c>
      <c r="U27" s="34">
        <f t="shared" si="7"/>
        <v>0</v>
      </c>
      <c r="V27" s="34">
        <f t="shared" si="7"/>
        <v>2.625</v>
      </c>
      <c r="W27" s="34">
        <f t="shared" si="7"/>
        <v>2.625</v>
      </c>
      <c r="X27" s="34">
        <f t="shared" si="7"/>
        <v>2.625</v>
      </c>
      <c r="Y27" s="34">
        <f t="shared" si="7"/>
        <v>0</v>
      </c>
      <c r="Z27" s="34">
        <f t="shared" si="7"/>
        <v>1.75</v>
      </c>
      <c r="AA27" s="34">
        <f t="shared" si="7"/>
        <v>1.75</v>
      </c>
      <c r="AB27" s="34">
        <f t="shared" si="7"/>
        <v>0</v>
      </c>
      <c r="AC27" s="34">
        <f t="shared" si="7"/>
        <v>0</v>
      </c>
      <c r="AD27" s="34">
        <f t="shared" si="7"/>
        <v>2.625</v>
      </c>
      <c r="AE27" s="34">
        <f t="shared" si="7"/>
        <v>3.5</v>
      </c>
      <c r="AF27" s="34">
        <f t="shared" si="7"/>
        <v>4.375</v>
      </c>
      <c r="AG27" s="34">
        <f t="shared" si="7"/>
        <v>4.375</v>
      </c>
      <c r="AH27" s="34">
        <f t="shared" si="7"/>
        <v>0</v>
      </c>
      <c r="AI27" s="34">
        <f t="shared" si="7"/>
        <v>6.125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40" zoomScaleNormal="40" workbookViewId="0">
      <selection activeCell="AL7" sqref="AL7:AM28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">
        <v>40</v>
      </c>
      <c r="D4" s="70"/>
    </row>
    <row r="5" spans="1:39">
      <c r="A5" s="19" t="s">
        <v>3</v>
      </c>
      <c r="B5" s="19"/>
      <c r="C5" s="12" t="s">
        <v>41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42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/>
      <c r="G10" s="64"/>
      <c r="H10" s="64"/>
      <c r="I10" s="64"/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/>
      <c r="P10" s="64"/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/>
      <c r="X10" s="64">
        <v>0</v>
      </c>
      <c r="Y10" s="64">
        <v>0</v>
      </c>
      <c r="Z10" s="64">
        <v>0</v>
      </c>
      <c r="AA10" s="64"/>
      <c r="AB10" s="64">
        <v>0</v>
      </c>
      <c r="AC10" s="64">
        <v>0</v>
      </c>
      <c r="AD10" s="64">
        <v>0</v>
      </c>
      <c r="AE10" s="64">
        <v>0</v>
      </c>
      <c r="AF10" s="64"/>
      <c r="AG10" s="64">
        <v>0</v>
      </c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>
        <v>0</v>
      </c>
      <c r="F11" s="64"/>
      <c r="G11" s="64"/>
      <c r="H11" s="64"/>
      <c r="I11" s="64"/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/>
      <c r="P11" s="64"/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/>
      <c r="X11" s="64">
        <v>0</v>
      </c>
      <c r="Y11" s="64">
        <v>0</v>
      </c>
      <c r="Z11" s="64">
        <v>0</v>
      </c>
      <c r="AA11" s="64"/>
      <c r="AB11" s="64">
        <v>0</v>
      </c>
      <c r="AC11" s="64">
        <v>0</v>
      </c>
      <c r="AD11" s="64">
        <v>0</v>
      </c>
      <c r="AE11" s="64">
        <v>0</v>
      </c>
      <c r="AF11" s="64"/>
      <c r="AG11" s="64">
        <v>0</v>
      </c>
      <c r="AH11" s="64"/>
      <c r="AI11" s="64"/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4</v>
      </c>
      <c r="F12" s="64"/>
      <c r="G12" s="64"/>
      <c r="H12" s="64"/>
      <c r="I12" s="64"/>
      <c r="J12" s="64">
        <v>5</v>
      </c>
      <c r="K12" s="64">
        <v>3</v>
      </c>
      <c r="L12" s="64">
        <v>4</v>
      </c>
      <c r="M12" s="64">
        <v>5</v>
      </c>
      <c r="N12" s="64">
        <v>5</v>
      </c>
      <c r="O12" s="64"/>
      <c r="P12" s="64"/>
      <c r="Q12" s="64">
        <v>4</v>
      </c>
      <c r="R12" s="64">
        <v>3</v>
      </c>
      <c r="S12" s="64">
        <v>5</v>
      </c>
      <c r="T12" s="64">
        <v>3</v>
      </c>
      <c r="U12" s="64">
        <v>5</v>
      </c>
      <c r="V12" s="64">
        <v>4</v>
      </c>
      <c r="W12" s="64"/>
      <c r="X12" s="64">
        <v>4</v>
      </c>
      <c r="Y12" s="64">
        <v>4</v>
      </c>
      <c r="Z12" s="64">
        <v>2</v>
      </c>
      <c r="AA12" s="64"/>
      <c r="AB12" s="64">
        <v>3</v>
      </c>
      <c r="AC12" s="64">
        <v>4</v>
      </c>
      <c r="AD12" s="64">
        <v>6</v>
      </c>
      <c r="AE12" s="64">
        <v>6</v>
      </c>
      <c r="AF12" s="64"/>
      <c r="AG12" s="64">
        <v>3</v>
      </c>
      <c r="AH12" s="64"/>
      <c r="AI12" s="64"/>
      <c r="AJ12" s="65">
        <f t="shared" si="1"/>
        <v>1.17142857142857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1.33333333333333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1.66666666666667</v>
      </c>
      <c r="K13" s="34">
        <f t="shared" si="2"/>
        <v>1</v>
      </c>
      <c r="L13" s="34">
        <f t="shared" si="2"/>
        <v>1.33333333333333</v>
      </c>
      <c r="M13" s="34">
        <f t="shared" si="2"/>
        <v>1.66666666666667</v>
      </c>
      <c r="N13" s="34">
        <f t="shared" si="2"/>
        <v>1.66666666666667</v>
      </c>
      <c r="O13" s="34">
        <f t="shared" si="2"/>
        <v>0</v>
      </c>
      <c r="P13" s="34">
        <f t="shared" si="2"/>
        <v>0</v>
      </c>
      <c r="Q13" s="34">
        <f t="shared" si="2"/>
        <v>1.33333333333333</v>
      </c>
      <c r="R13" s="34">
        <f t="shared" si="2"/>
        <v>1</v>
      </c>
      <c r="S13" s="34">
        <v>0</v>
      </c>
      <c r="T13" s="34">
        <f t="shared" si="2"/>
        <v>1</v>
      </c>
      <c r="U13" s="34">
        <f t="shared" si="2"/>
        <v>1.66666666666667</v>
      </c>
      <c r="V13" s="34">
        <f t="shared" si="2"/>
        <v>1.33333333333333</v>
      </c>
      <c r="W13" s="34">
        <f t="shared" si="2"/>
        <v>0</v>
      </c>
      <c r="X13" s="34">
        <f t="shared" si="2"/>
        <v>1.33333333333333</v>
      </c>
      <c r="Y13" s="34">
        <f t="shared" si="2"/>
        <v>1.33333333333333</v>
      </c>
      <c r="Z13" s="34">
        <f t="shared" si="2"/>
        <v>0.666666666666667</v>
      </c>
      <c r="AA13" s="34">
        <f t="shared" si="2"/>
        <v>0</v>
      </c>
      <c r="AB13" s="34">
        <f t="shared" si="2"/>
        <v>1</v>
      </c>
      <c r="AC13" s="34">
        <f t="shared" si="2"/>
        <v>1.33333333333333</v>
      </c>
      <c r="AD13" s="34">
        <f t="shared" si="2"/>
        <v>2</v>
      </c>
      <c r="AE13" s="34">
        <f t="shared" si="2"/>
        <v>2</v>
      </c>
      <c r="AF13" s="34">
        <f t="shared" si="2"/>
        <v>0</v>
      </c>
      <c r="AG13" s="34">
        <f t="shared" si="2"/>
        <v>1</v>
      </c>
      <c r="AH13" s="34">
        <f t="shared" si="2"/>
        <v>0</v>
      </c>
      <c r="AI13" s="34">
        <f t="shared" si="2"/>
        <v>0</v>
      </c>
      <c r="AJ13" s="42">
        <f t="shared" si="2"/>
        <v>0.39047619047619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4</v>
      </c>
      <c r="F15" s="64"/>
      <c r="G15" s="64"/>
      <c r="H15" s="64"/>
      <c r="I15" s="64"/>
      <c r="J15" s="64">
        <v>5</v>
      </c>
      <c r="K15" s="64">
        <v>3</v>
      </c>
      <c r="L15" s="64">
        <v>4</v>
      </c>
      <c r="M15" s="64">
        <v>5</v>
      </c>
      <c r="N15" s="64">
        <v>5</v>
      </c>
      <c r="O15" s="64"/>
      <c r="P15" s="64"/>
      <c r="Q15" s="64">
        <v>4</v>
      </c>
      <c r="R15" s="64">
        <v>3</v>
      </c>
      <c r="S15" s="64">
        <v>5</v>
      </c>
      <c r="T15" s="64">
        <v>3</v>
      </c>
      <c r="U15" s="64">
        <v>5</v>
      </c>
      <c r="V15" s="64">
        <v>4</v>
      </c>
      <c r="W15" s="64"/>
      <c r="X15" s="64">
        <v>4</v>
      </c>
      <c r="Y15" s="64">
        <v>4</v>
      </c>
      <c r="Z15" s="64">
        <v>2</v>
      </c>
      <c r="AA15" s="64"/>
      <c r="AB15" s="64">
        <v>3</v>
      </c>
      <c r="AC15" s="64">
        <v>4</v>
      </c>
      <c r="AD15" s="64">
        <v>6</v>
      </c>
      <c r="AE15" s="64">
        <v>6</v>
      </c>
      <c r="AF15" s="64"/>
      <c r="AG15" s="64">
        <v>3</v>
      </c>
      <c r="AH15" s="64"/>
      <c r="AI15" s="64"/>
      <c r="AJ15" s="65">
        <f>SUM(E15:AI15)/AM15*10/100</f>
        <v>0.292857142857143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>
        <v>4</v>
      </c>
      <c r="F16" s="64"/>
      <c r="G16" s="64"/>
      <c r="H16" s="64"/>
      <c r="I16" s="64"/>
      <c r="J16" s="64">
        <v>5</v>
      </c>
      <c r="K16" s="64">
        <v>3</v>
      </c>
      <c r="L16" s="64">
        <v>4</v>
      </c>
      <c r="M16" s="64">
        <v>5</v>
      </c>
      <c r="N16" s="64">
        <v>5</v>
      </c>
      <c r="O16" s="64"/>
      <c r="P16" s="64"/>
      <c r="Q16" s="64">
        <v>4</v>
      </c>
      <c r="R16" s="64">
        <v>3</v>
      </c>
      <c r="S16" s="64">
        <v>5</v>
      </c>
      <c r="T16" s="64">
        <v>3</v>
      </c>
      <c r="U16" s="64">
        <v>5</v>
      </c>
      <c r="V16" s="64">
        <v>4</v>
      </c>
      <c r="W16" s="64"/>
      <c r="X16" s="64">
        <v>4</v>
      </c>
      <c r="Y16" s="64">
        <v>4</v>
      </c>
      <c r="Z16" s="64">
        <v>2</v>
      </c>
      <c r="AA16" s="64"/>
      <c r="AB16" s="64">
        <v>3</v>
      </c>
      <c r="AC16" s="64">
        <v>4</v>
      </c>
      <c r="AD16" s="64">
        <v>6</v>
      </c>
      <c r="AE16" s="64">
        <v>6</v>
      </c>
      <c r="AF16" s="64"/>
      <c r="AG16" s="64">
        <v>3</v>
      </c>
      <c r="AH16" s="64"/>
      <c r="AI16" s="64"/>
      <c r="AJ16" s="65">
        <f t="shared" ref="AJ16" si="3">SUM(E16:AI16)/AM16*10/100</f>
        <v>0.292857142857143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2.66666666666667</v>
      </c>
      <c r="F17" s="34">
        <f t="shared" si="4"/>
        <v>0</v>
      </c>
      <c r="G17" s="34">
        <f t="shared" si="4"/>
        <v>0</v>
      </c>
      <c r="H17" s="34">
        <f t="shared" si="4"/>
        <v>0</v>
      </c>
      <c r="I17" s="34">
        <f t="shared" si="4"/>
        <v>0</v>
      </c>
      <c r="J17" s="34">
        <f t="shared" si="4"/>
        <v>3.33333333333333</v>
      </c>
      <c r="K17" s="34">
        <f t="shared" si="4"/>
        <v>2</v>
      </c>
      <c r="L17" s="34">
        <f t="shared" si="4"/>
        <v>2.66666666666667</v>
      </c>
      <c r="M17" s="34">
        <f t="shared" si="4"/>
        <v>3.33333333333333</v>
      </c>
      <c r="N17" s="34">
        <f t="shared" si="4"/>
        <v>3.33333333333333</v>
      </c>
      <c r="O17" s="34">
        <f t="shared" si="4"/>
        <v>0</v>
      </c>
      <c r="P17" s="34">
        <f t="shared" si="4"/>
        <v>0</v>
      </c>
      <c r="Q17" s="34">
        <f t="shared" si="4"/>
        <v>2.66666666666667</v>
      </c>
      <c r="R17" s="34">
        <f t="shared" si="4"/>
        <v>2</v>
      </c>
      <c r="S17" s="34">
        <f t="shared" si="4"/>
        <v>3.33333333333333</v>
      </c>
      <c r="T17" s="34">
        <f t="shared" si="4"/>
        <v>2</v>
      </c>
      <c r="U17" s="34">
        <f t="shared" si="4"/>
        <v>3.33333333333333</v>
      </c>
      <c r="V17" s="34">
        <f t="shared" si="4"/>
        <v>2.66666666666667</v>
      </c>
      <c r="W17" s="34">
        <f t="shared" si="4"/>
        <v>0</v>
      </c>
      <c r="X17" s="34">
        <f t="shared" si="4"/>
        <v>2.66666666666667</v>
      </c>
      <c r="Y17" s="34">
        <f t="shared" si="4"/>
        <v>2.66666666666667</v>
      </c>
      <c r="Z17" s="34">
        <f t="shared" si="4"/>
        <v>1.33333333333333</v>
      </c>
      <c r="AA17" s="34">
        <f t="shared" si="4"/>
        <v>0</v>
      </c>
      <c r="AB17" s="34">
        <f t="shared" si="4"/>
        <v>2</v>
      </c>
      <c r="AC17" s="34">
        <f t="shared" si="4"/>
        <v>2.66666666666667</v>
      </c>
      <c r="AD17" s="34">
        <f t="shared" si="4"/>
        <v>4</v>
      </c>
      <c r="AE17" s="34">
        <f t="shared" si="4"/>
        <v>4</v>
      </c>
      <c r="AF17" s="34">
        <f t="shared" si="4"/>
        <v>0</v>
      </c>
      <c r="AG17" s="34">
        <f t="shared" si="4"/>
        <v>2</v>
      </c>
      <c r="AH17" s="34">
        <f t="shared" si="4"/>
        <v>0</v>
      </c>
      <c r="AI17" s="34">
        <f t="shared" si="4"/>
        <v>0</v>
      </c>
      <c r="AJ17" s="42">
        <f t="shared" si="4"/>
        <v>0.195238095238095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>
        <v>4</v>
      </c>
      <c r="F19" s="64"/>
      <c r="G19" s="64"/>
      <c r="H19" s="64"/>
      <c r="I19" s="64"/>
      <c r="J19" s="64">
        <v>5</v>
      </c>
      <c r="K19" s="64">
        <v>3</v>
      </c>
      <c r="L19" s="64">
        <v>4</v>
      </c>
      <c r="M19" s="64">
        <v>5</v>
      </c>
      <c r="N19" s="64">
        <v>5</v>
      </c>
      <c r="O19" s="64"/>
      <c r="P19" s="64"/>
      <c r="Q19" s="64">
        <v>4</v>
      </c>
      <c r="R19" s="64">
        <v>3</v>
      </c>
      <c r="S19" s="64">
        <v>5</v>
      </c>
      <c r="T19" s="64">
        <v>3</v>
      </c>
      <c r="U19" s="64">
        <v>5</v>
      </c>
      <c r="V19" s="64">
        <v>4</v>
      </c>
      <c r="W19" s="64"/>
      <c r="X19" s="64">
        <v>4</v>
      </c>
      <c r="Y19" s="64">
        <v>4</v>
      </c>
      <c r="Z19" s="64">
        <v>2</v>
      </c>
      <c r="AA19" s="64"/>
      <c r="AB19" s="64">
        <v>3</v>
      </c>
      <c r="AC19" s="64">
        <v>4</v>
      </c>
      <c r="AD19" s="64">
        <v>6</v>
      </c>
      <c r="AE19" s="64">
        <v>6</v>
      </c>
      <c r="AF19" s="64"/>
      <c r="AG19" s="64">
        <v>3</v>
      </c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>
        <v>8</v>
      </c>
      <c r="F20" s="64"/>
      <c r="G20" s="64"/>
      <c r="H20" s="64"/>
      <c r="I20" s="64"/>
      <c r="J20" s="64">
        <v>10</v>
      </c>
      <c r="K20" s="64">
        <v>6</v>
      </c>
      <c r="L20" s="64">
        <v>8</v>
      </c>
      <c r="M20" s="64">
        <v>10</v>
      </c>
      <c r="N20" s="64">
        <v>10</v>
      </c>
      <c r="O20" s="64"/>
      <c r="P20" s="64"/>
      <c r="Q20" s="64">
        <v>8</v>
      </c>
      <c r="R20" s="64">
        <v>6</v>
      </c>
      <c r="S20" s="64">
        <v>10</v>
      </c>
      <c r="T20" s="64">
        <v>6</v>
      </c>
      <c r="U20" s="64">
        <v>10</v>
      </c>
      <c r="V20" s="64">
        <v>8</v>
      </c>
      <c r="W20" s="64"/>
      <c r="X20" s="64">
        <v>8</v>
      </c>
      <c r="Y20" s="64">
        <v>8</v>
      </c>
      <c r="Z20" s="64">
        <v>4</v>
      </c>
      <c r="AA20" s="64"/>
      <c r="AB20" s="64">
        <v>6</v>
      </c>
      <c r="AC20" s="64">
        <v>8</v>
      </c>
      <c r="AD20" s="64">
        <v>12</v>
      </c>
      <c r="AE20" s="64">
        <v>12</v>
      </c>
      <c r="AF20" s="64"/>
      <c r="AG20" s="64">
        <v>6</v>
      </c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>
        <v>8</v>
      </c>
      <c r="F21" s="64"/>
      <c r="G21" s="64"/>
      <c r="H21" s="64"/>
      <c r="I21" s="64"/>
      <c r="J21" s="64">
        <v>10</v>
      </c>
      <c r="K21" s="64">
        <v>6</v>
      </c>
      <c r="L21" s="64">
        <v>8</v>
      </c>
      <c r="M21" s="64">
        <v>10</v>
      </c>
      <c r="N21" s="64">
        <v>10</v>
      </c>
      <c r="O21" s="64"/>
      <c r="P21" s="64"/>
      <c r="Q21" s="64">
        <v>8</v>
      </c>
      <c r="R21" s="64">
        <v>6</v>
      </c>
      <c r="S21" s="64">
        <v>10</v>
      </c>
      <c r="T21" s="64">
        <v>6</v>
      </c>
      <c r="U21" s="64">
        <v>10</v>
      </c>
      <c r="V21" s="64">
        <v>8</v>
      </c>
      <c r="W21" s="64"/>
      <c r="X21" s="64">
        <v>8</v>
      </c>
      <c r="Y21" s="64">
        <v>8</v>
      </c>
      <c r="Z21" s="64">
        <v>4</v>
      </c>
      <c r="AA21" s="64"/>
      <c r="AB21" s="64">
        <v>6</v>
      </c>
      <c r="AC21" s="64">
        <v>8</v>
      </c>
      <c r="AD21" s="64">
        <v>12</v>
      </c>
      <c r="AE21" s="64">
        <v>12</v>
      </c>
      <c r="AF21" s="64"/>
      <c r="AG21" s="64">
        <v>6</v>
      </c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>
        <v>4</v>
      </c>
      <c r="F22" s="64"/>
      <c r="G22" s="64"/>
      <c r="H22" s="64"/>
      <c r="I22" s="64"/>
      <c r="J22" s="64">
        <v>5</v>
      </c>
      <c r="K22" s="64">
        <v>3</v>
      </c>
      <c r="L22" s="64">
        <v>4</v>
      </c>
      <c r="M22" s="64">
        <v>5</v>
      </c>
      <c r="N22" s="64">
        <v>5</v>
      </c>
      <c r="O22" s="64"/>
      <c r="P22" s="64"/>
      <c r="Q22" s="64">
        <v>4</v>
      </c>
      <c r="R22" s="64">
        <v>3</v>
      </c>
      <c r="S22" s="64">
        <v>5</v>
      </c>
      <c r="T22" s="64">
        <v>3</v>
      </c>
      <c r="U22" s="64">
        <v>5</v>
      </c>
      <c r="V22" s="64">
        <v>4</v>
      </c>
      <c r="W22" s="64"/>
      <c r="X22" s="64">
        <v>4</v>
      </c>
      <c r="Y22" s="64">
        <v>4</v>
      </c>
      <c r="Z22" s="64">
        <v>2</v>
      </c>
      <c r="AA22" s="64"/>
      <c r="AB22" s="64">
        <v>3</v>
      </c>
      <c r="AC22" s="64">
        <v>4</v>
      </c>
      <c r="AD22" s="64">
        <v>6</v>
      </c>
      <c r="AE22" s="64">
        <v>6</v>
      </c>
      <c r="AF22" s="64"/>
      <c r="AG22" s="64">
        <v>3</v>
      </c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>
        <v>4</v>
      </c>
      <c r="F23" s="64"/>
      <c r="G23" s="64"/>
      <c r="H23" s="64"/>
      <c r="I23" s="64"/>
      <c r="J23" s="64">
        <v>5</v>
      </c>
      <c r="K23" s="64">
        <v>3</v>
      </c>
      <c r="L23" s="64">
        <v>4</v>
      </c>
      <c r="M23" s="64">
        <v>5</v>
      </c>
      <c r="N23" s="64">
        <v>5</v>
      </c>
      <c r="O23" s="64"/>
      <c r="P23" s="64"/>
      <c r="Q23" s="64">
        <v>4</v>
      </c>
      <c r="R23" s="64">
        <v>3</v>
      </c>
      <c r="S23" s="64">
        <v>5</v>
      </c>
      <c r="T23" s="64">
        <v>3</v>
      </c>
      <c r="U23" s="64">
        <v>5</v>
      </c>
      <c r="V23" s="64">
        <v>4</v>
      </c>
      <c r="W23" s="64"/>
      <c r="X23" s="64">
        <v>4</v>
      </c>
      <c r="Y23" s="64">
        <v>4</v>
      </c>
      <c r="Z23" s="64">
        <v>2</v>
      </c>
      <c r="AA23" s="64"/>
      <c r="AB23" s="64">
        <v>3</v>
      </c>
      <c r="AC23" s="64">
        <v>4</v>
      </c>
      <c r="AD23" s="64">
        <v>6</v>
      </c>
      <c r="AE23" s="64">
        <v>6</v>
      </c>
      <c r="AF23" s="64"/>
      <c r="AG23" s="64">
        <v>3</v>
      </c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>
        <v>0</v>
      </c>
      <c r="F24" s="64"/>
      <c r="G24" s="64"/>
      <c r="H24" s="64"/>
      <c r="I24" s="64"/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/>
      <c r="P24" s="64"/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/>
      <c r="X24" s="64">
        <v>0</v>
      </c>
      <c r="Y24" s="64">
        <v>0</v>
      </c>
      <c r="Z24" s="64">
        <v>0</v>
      </c>
      <c r="AA24" s="64"/>
      <c r="AB24" s="64">
        <v>0</v>
      </c>
      <c r="AC24" s="64">
        <v>0</v>
      </c>
      <c r="AD24" s="64">
        <v>0</v>
      </c>
      <c r="AE24" s="64">
        <v>0</v>
      </c>
      <c r="AF24" s="64"/>
      <c r="AG24" s="64">
        <v>0</v>
      </c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>
        <v>0</v>
      </c>
      <c r="F25" s="64"/>
      <c r="G25" s="64"/>
      <c r="H25" s="64"/>
      <c r="I25" s="64"/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/>
      <c r="P25" s="64"/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/>
      <c r="X25" s="64">
        <v>0</v>
      </c>
      <c r="Y25" s="64">
        <v>0</v>
      </c>
      <c r="Z25" s="64">
        <v>0</v>
      </c>
      <c r="AA25" s="64"/>
      <c r="AB25" s="64">
        <v>0</v>
      </c>
      <c r="AC25" s="64">
        <v>0</v>
      </c>
      <c r="AD25" s="64">
        <v>0</v>
      </c>
      <c r="AE25" s="64">
        <v>0</v>
      </c>
      <c r="AF25" s="64"/>
      <c r="AG25" s="64">
        <v>0</v>
      </c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>
        <v>0</v>
      </c>
      <c r="F26" s="64"/>
      <c r="G26" s="64"/>
      <c r="H26" s="64"/>
      <c r="I26" s="64"/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/>
      <c r="P26" s="64"/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/>
      <c r="X26" s="64">
        <v>0</v>
      </c>
      <c r="Y26" s="64">
        <v>0</v>
      </c>
      <c r="Z26" s="64">
        <v>0</v>
      </c>
      <c r="AA26" s="64"/>
      <c r="AB26" s="64">
        <v>0</v>
      </c>
      <c r="AC26" s="64">
        <v>0</v>
      </c>
      <c r="AD26" s="64">
        <v>0</v>
      </c>
      <c r="AE26" s="64">
        <v>0</v>
      </c>
      <c r="AF26" s="64"/>
      <c r="AG26" s="64">
        <v>0</v>
      </c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3.5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0</v>
      </c>
      <c r="I27" s="34">
        <f t="shared" si="7"/>
        <v>0</v>
      </c>
      <c r="J27" s="34">
        <f t="shared" si="7"/>
        <v>4.375</v>
      </c>
      <c r="K27" s="34">
        <f t="shared" si="7"/>
        <v>2.625</v>
      </c>
      <c r="L27" s="34">
        <f t="shared" si="7"/>
        <v>3.5</v>
      </c>
      <c r="M27" s="34">
        <f t="shared" si="7"/>
        <v>4.375</v>
      </c>
      <c r="N27" s="34">
        <f t="shared" si="7"/>
        <v>4.375</v>
      </c>
      <c r="O27" s="34">
        <f t="shared" si="7"/>
        <v>0</v>
      </c>
      <c r="P27" s="34">
        <f t="shared" si="7"/>
        <v>0</v>
      </c>
      <c r="Q27" s="34">
        <f t="shared" si="7"/>
        <v>3.5</v>
      </c>
      <c r="R27" s="34">
        <f t="shared" si="7"/>
        <v>2.625</v>
      </c>
      <c r="S27" s="34">
        <f t="shared" si="7"/>
        <v>4.375</v>
      </c>
      <c r="T27" s="34">
        <f t="shared" si="7"/>
        <v>2.625</v>
      </c>
      <c r="U27" s="34">
        <f t="shared" si="7"/>
        <v>4.375</v>
      </c>
      <c r="V27" s="34">
        <f t="shared" si="7"/>
        <v>3.5</v>
      </c>
      <c r="W27" s="34">
        <f t="shared" si="7"/>
        <v>0</v>
      </c>
      <c r="X27" s="34">
        <f t="shared" si="7"/>
        <v>3.5</v>
      </c>
      <c r="Y27" s="34">
        <f t="shared" si="7"/>
        <v>3.5</v>
      </c>
      <c r="Z27" s="34">
        <f t="shared" si="7"/>
        <v>1.75</v>
      </c>
      <c r="AA27" s="34">
        <f t="shared" si="7"/>
        <v>0</v>
      </c>
      <c r="AB27" s="34">
        <f t="shared" si="7"/>
        <v>2.625</v>
      </c>
      <c r="AC27" s="34">
        <f t="shared" si="7"/>
        <v>3.5</v>
      </c>
      <c r="AD27" s="34">
        <f t="shared" si="7"/>
        <v>5.25</v>
      </c>
      <c r="AE27" s="34">
        <f t="shared" si="7"/>
        <v>5.25</v>
      </c>
      <c r="AF27" s="34">
        <f t="shared" si="7"/>
        <v>0</v>
      </c>
      <c r="AG27" s="34">
        <f t="shared" si="7"/>
        <v>2.625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tabSelected="1" zoomScale="80" zoomScaleNormal="80" topLeftCell="A16" workbookViewId="0">
      <selection activeCell="E19" sqref="E19:Q26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43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 t="s">
        <v>44</v>
      </c>
      <c r="L10" s="64" t="s">
        <v>44</v>
      </c>
      <c r="M10" s="64">
        <v>0</v>
      </c>
      <c r="N10" s="64" t="s">
        <v>44</v>
      </c>
      <c r="O10" s="64">
        <v>0</v>
      </c>
      <c r="P10" s="64">
        <v>0</v>
      </c>
      <c r="Q10" s="64">
        <v>0</v>
      </c>
      <c r="R10" s="64" t="s">
        <v>44</v>
      </c>
      <c r="S10" s="64" t="s">
        <v>44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 t="s">
        <v>44</v>
      </c>
      <c r="AA10" s="64" t="s">
        <v>44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 t="s">
        <v>44</v>
      </c>
      <c r="L11" s="64" t="s">
        <v>44</v>
      </c>
      <c r="M11" s="64">
        <v>0</v>
      </c>
      <c r="N11" s="64" t="s">
        <v>44</v>
      </c>
      <c r="O11" s="64">
        <v>0</v>
      </c>
      <c r="P11" s="64">
        <v>0</v>
      </c>
      <c r="Q11" s="64">
        <v>0</v>
      </c>
      <c r="R11" s="64" t="s">
        <v>44</v>
      </c>
      <c r="S11" s="64" t="s">
        <v>44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 t="s">
        <v>44</v>
      </c>
      <c r="AA11" s="64" t="s">
        <v>44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/>
      <c r="AI11" s="64"/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6</v>
      </c>
      <c r="F12" s="64">
        <v>5</v>
      </c>
      <c r="G12" s="64">
        <v>3</v>
      </c>
      <c r="H12" s="64">
        <v>3</v>
      </c>
      <c r="I12" s="64">
        <v>4</v>
      </c>
      <c r="J12" s="64">
        <v>4</v>
      </c>
      <c r="K12" s="64" t="s">
        <v>44</v>
      </c>
      <c r="L12" s="64" t="s">
        <v>44</v>
      </c>
      <c r="M12" s="64">
        <v>4</v>
      </c>
      <c r="N12" s="64" t="s">
        <v>44</v>
      </c>
      <c r="O12" s="64">
        <v>4</v>
      </c>
      <c r="P12" s="64">
        <v>4</v>
      </c>
      <c r="Q12" s="64">
        <v>1</v>
      </c>
      <c r="R12" s="64" t="s">
        <v>44</v>
      </c>
      <c r="S12" s="64" t="s">
        <v>44</v>
      </c>
      <c r="T12" s="64">
        <v>2</v>
      </c>
      <c r="U12" s="64">
        <v>2</v>
      </c>
      <c r="V12" s="64">
        <v>3</v>
      </c>
      <c r="W12" s="64">
        <v>4</v>
      </c>
      <c r="X12" s="64">
        <v>2</v>
      </c>
      <c r="Y12" s="64">
        <v>1</v>
      </c>
      <c r="Z12" s="64" t="s">
        <v>44</v>
      </c>
      <c r="AA12" s="64" t="s">
        <v>44</v>
      </c>
      <c r="AB12" s="64">
        <v>6</v>
      </c>
      <c r="AC12" s="64">
        <v>7</v>
      </c>
      <c r="AD12" s="64">
        <v>5</v>
      </c>
      <c r="AE12" s="64">
        <v>4</v>
      </c>
      <c r="AF12" s="64">
        <v>5</v>
      </c>
      <c r="AG12" s="64">
        <v>5</v>
      </c>
      <c r="AH12" s="64"/>
      <c r="AI12" s="64"/>
      <c r="AJ12" s="65">
        <f t="shared" si="1"/>
        <v>1.2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2</v>
      </c>
      <c r="F13" s="34">
        <f t="shared" ref="F13:AJ13" si="2">SUM(F10:F12)/3</f>
        <v>1.66666666666667</v>
      </c>
      <c r="G13" s="34">
        <f t="shared" si="2"/>
        <v>1</v>
      </c>
      <c r="H13" s="34">
        <f t="shared" si="2"/>
        <v>1</v>
      </c>
      <c r="I13" s="34">
        <f t="shared" si="2"/>
        <v>1.33333333333333</v>
      </c>
      <c r="J13" s="34">
        <f t="shared" si="2"/>
        <v>1.33333333333333</v>
      </c>
      <c r="K13" s="34">
        <f t="shared" si="2"/>
        <v>0</v>
      </c>
      <c r="L13" s="34">
        <f t="shared" si="2"/>
        <v>0</v>
      </c>
      <c r="M13" s="34">
        <f t="shared" si="2"/>
        <v>1.33333333333333</v>
      </c>
      <c r="N13" s="34">
        <f t="shared" si="2"/>
        <v>0</v>
      </c>
      <c r="O13" s="34">
        <f t="shared" si="2"/>
        <v>1.33333333333333</v>
      </c>
      <c r="P13" s="34">
        <f t="shared" si="2"/>
        <v>1.33333333333333</v>
      </c>
      <c r="Q13" s="34">
        <f t="shared" si="2"/>
        <v>0.333333333333333</v>
      </c>
      <c r="R13" s="34">
        <f t="shared" si="2"/>
        <v>0</v>
      </c>
      <c r="S13" s="34">
        <v>0</v>
      </c>
      <c r="T13" s="34">
        <f t="shared" si="2"/>
        <v>0.666666666666667</v>
      </c>
      <c r="U13" s="34">
        <f t="shared" si="2"/>
        <v>0.666666666666667</v>
      </c>
      <c r="V13" s="34">
        <f t="shared" si="2"/>
        <v>1</v>
      </c>
      <c r="W13" s="34">
        <f t="shared" si="2"/>
        <v>1.33333333333333</v>
      </c>
      <c r="X13" s="34">
        <f t="shared" si="2"/>
        <v>0.666666666666667</v>
      </c>
      <c r="Y13" s="34">
        <f t="shared" si="2"/>
        <v>0.333333333333333</v>
      </c>
      <c r="Z13" s="34">
        <f t="shared" si="2"/>
        <v>0</v>
      </c>
      <c r="AA13" s="34">
        <f t="shared" si="2"/>
        <v>0</v>
      </c>
      <c r="AB13" s="34">
        <f t="shared" si="2"/>
        <v>2</v>
      </c>
      <c r="AC13" s="34">
        <f t="shared" si="2"/>
        <v>2.33333333333333</v>
      </c>
      <c r="AD13" s="34">
        <f t="shared" si="2"/>
        <v>1.66666666666667</v>
      </c>
      <c r="AE13" s="34">
        <f t="shared" si="2"/>
        <v>1.33333333333333</v>
      </c>
      <c r="AF13" s="34">
        <f t="shared" si="2"/>
        <v>1.66666666666667</v>
      </c>
      <c r="AG13" s="34">
        <f t="shared" si="2"/>
        <v>1.66666666666667</v>
      </c>
      <c r="AH13" s="34">
        <f t="shared" si="2"/>
        <v>0</v>
      </c>
      <c r="AI13" s="34">
        <f t="shared" si="2"/>
        <v>0</v>
      </c>
      <c r="AJ13" s="42">
        <f t="shared" si="2"/>
        <v>0.4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6</v>
      </c>
      <c r="F15" s="64">
        <v>5</v>
      </c>
      <c r="G15" s="64">
        <v>3</v>
      </c>
      <c r="H15" s="64">
        <v>3</v>
      </c>
      <c r="I15" s="64">
        <v>4</v>
      </c>
      <c r="J15" s="64">
        <v>4</v>
      </c>
      <c r="K15" s="64" t="s">
        <v>44</v>
      </c>
      <c r="L15" s="64" t="s">
        <v>44</v>
      </c>
      <c r="M15" s="64">
        <v>4</v>
      </c>
      <c r="N15" s="64" t="s">
        <v>44</v>
      </c>
      <c r="O15" s="64">
        <v>4</v>
      </c>
      <c r="P15" s="64">
        <v>4</v>
      </c>
      <c r="Q15" s="64">
        <v>1</v>
      </c>
      <c r="R15" s="64" t="s">
        <v>44</v>
      </c>
      <c r="S15" s="64" t="s">
        <v>44</v>
      </c>
      <c r="T15" s="64">
        <v>2</v>
      </c>
      <c r="U15" s="64">
        <v>2</v>
      </c>
      <c r="V15" s="64">
        <v>3</v>
      </c>
      <c r="W15" s="64">
        <v>4</v>
      </c>
      <c r="X15" s="64">
        <v>2</v>
      </c>
      <c r="Y15" s="64">
        <v>1</v>
      </c>
      <c r="Z15" s="64" t="s">
        <v>44</v>
      </c>
      <c r="AA15" s="64" t="s">
        <v>44</v>
      </c>
      <c r="AB15" s="64">
        <v>6</v>
      </c>
      <c r="AC15" s="64">
        <v>7</v>
      </c>
      <c r="AD15" s="64">
        <v>5</v>
      </c>
      <c r="AE15" s="64">
        <v>4</v>
      </c>
      <c r="AF15" s="64">
        <v>5</v>
      </c>
      <c r="AG15" s="64">
        <v>5</v>
      </c>
      <c r="AH15" s="64"/>
      <c r="AI15" s="64"/>
      <c r="AJ15" s="65">
        <f>SUM(E15:AI15)/AM15*10/100</f>
        <v>0.3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>
        <v>6</v>
      </c>
      <c r="F16" s="64">
        <v>5</v>
      </c>
      <c r="G16" s="64">
        <v>3</v>
      </c>
      <c r="H16" s="64">
        <v>3</v>
      </c>
      <c r="I16" s="64">
        <v>4</v>
      </c>
      <c r="J16" s="64">
        <v>4</v>
      </c>
      <c r="K16" s="64" t="s">
        <v>44</v>
      </c>
      <c r="L16" s="64" t="s">
        <v>44</v>
      </c>
      <c r="M16" s="64">
        <v>4</v>
      </c>
      <c r="N16" s="64" t="s">
        <v>44</v>
      </c>
      <c r="O16" s="64">
        <v>4</v>
      </c>
      <c r="P16" s="64">
        <v>4</v>
      </c>
      <c r="Q16" s="64">
        <v>1</v>
      </c>
      <c r="R16" s="64" t="s">
        <v>44</v>
      </c>
      <c r="S16" s="64" t="s">
        <v>44</v>
      </c>
      <c r="T16" s="64">
        <v>2</v>
      </c>
      <c r="U16" s="64">
        <v>2</v>
      </c>
      <c r="V16" s="64">
        <v>3</v>
      </c>
      <c r="W16" s="64">
        <v>4</v>
      </c>
      <c r="X16" s="64">
        <v>2</v>
      </c>
      <c r="Y16" s="64">
        <v>1</v>
      </c>
      <c r="Z16" s="64" t="s">
        <v>44</v>
      </c>
      <c r="AA16" s="64" t="s">
        <v>44</v>
      </c>
      <c r="AB16" s="64">
        <v>6</v>
      </c>
      <c r="AC16" s="64">
        <v>7</v>
      </c>
      <c r="AD16" s="64">
        <v>5</v>
      </c>
      <c r="AE16" s="64">
        <v>4</v>
      </c>
      <c r="AF16" s="64">
        <v>5</v>
      </c>
      <c r="AG16" s="64">
        <v>5</v>
      </c>
      <c r="AH16" s="64"/>
      <c r="AI16" s="64"/>
      <c r="AJ16" s="65">
        <f t="shared" ref="AJ16" si="3">SUM(E16:AI16)/AM16*10/100</f>
        <v>0.3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4</v>
      </c>
      <c r="F17" s="34">
        <f t="shared" si="4"/>
        <v>3.33333333333333</v>
      </c>
      <c r="G17" s="34">
        <f t="shared" si="4"/>
        <v>2</v>
      </c>
      <c r="H17" s="34">
        <f t="shared" si="4"/>
        <v>2</v>
      </c>
      <c r="I17" s="34">
        <f t="shared" si="4"/>
        <v>2.66666666666667</v>
      </c>
      <c r="J17" s="34">
        <f t="shared" si="4"/>
        <v>2.66666666666667</v>
      </c>
      <c r="K17" s="34">
        <f t="shared" si="4"/>
        <v>0</v>
      </c>
      <c r="L17" s="34">
        <f t="shared" si="4"/>
        <v>0</v>
      </c>
      <c r="M17" s="34">
        <f t="shared" si="4"/>
        <v>2.66666666666667</v>
      </c>
      <c r="N17" s="34">
        <f t="shared" si="4"/>
        <v>0</v>
      </c>
      <c r="O17" s="34">
        <f t="shared" si="4"/>
        <v>2.66666666666667</v>
      </c>
      <c r="P17" s="34">
        <f t="shared" si="4"/>
        <v>2.66666666666667</v>
      </c>
      <c r="Q17" s="34">
        <f t="shared" si="4"/>
        <v>0.666666666666667</v>
      </c>
      <c r="R17" s="34">
        <f t="shared" si="4"/>
        <v>0</v>
      </c>
      <c r="S17" s="34">
        <f t="shared" si="4"/>
        <v>0</v>
      </c>
      <c r="T17" s="34">
        <f t="shared" si="4"/>
        <v>1.33333333333333</v>
      </c>
      <c r="U17" s="34">
        <f t="shared" si="4"/>
        <v>1.33333333333333</v>
      </c>
      <c r="V17" s="34">
        <f t="shared" si="4"/>
        <v>2</v>
      </c>
      <c r="W17" s="34">
        <f t="shared" si="4"/>
        <v>2.66666666666667</v>
      </c>
      <c r="X17" s="34">
        <f t="shared" si="4"/>
        <v>1.33333333333333</v>
      </c>
      <c r="Y17" s="34">
        <f t="shared" si="4"/>
        <v>0.666666666666667</v>
      </c>
      <c r="Z17" s="34">
        <f t="shared" si="4"/>
        <v>0</v>
      </c>
      <c r="AA17" s="34">
        <f t="shared" si="4"/>
        <v>0</v>
      </c>
      <c r="AB17" s="34">
        <f t="shared" si="4"/>
        <v>4</v>
      </c>
      <c r="AC17" s="34">
        <f t="shared" si="4"/>
        <v>4.66666666666667</v>
      </c>
      <c r="AD17" s="34">
        <f t="shared" si="4"/>
        <v>3.33333333333333</v>
      </c>
      <c r="AE17" s="34">
        <f t="shared" si="4"/>
        <v>2.66666666666667</v>
      </c>
      <c r="AF17" s="34">
        <f t="shared" si="4"/>
        <v>3.33333333333333</v>
      </c>
      <c r="AG17" s="34">
        <f t="shared" si="4"/>
        <v>3.33333333333333</v>
      </c>
      <c r="AH17" s="34">
        <f t="shared" si="4"/>
        <v>0</v>
      </c>
      <c r="AI17" s="34">
        <f t="shared" si="4"/>
        <v>0</v>
      </c>
      <c r="AJ17" s="42">
        <f t="shared" si="4"/>
        <v>0.2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>
        <v>6</v>
      </c>
      <c r="F19" s="64">
        <v>5</v>
      </c>
      <c r="G19" s="64">
        <v>3</v>
      </c>
      <c r="H19" s="64">
        <v>3</v>
      </c>
      <c r="I19" s="64">
        <v>4</v>
      </c>
      <c r="J19" s="64">
        <v>4</v>
      </c>
      <c r="K19" s="64" t="s">
        <v>44</v>
      </c>
      <c r="L19" s="64" t="s">
        <v>44</v>
      </c>
      <c r="M19" s="64">
        <v>4</v>
      </c>
      <c r="N19" s="64" t="s">
        <v>44</v>
      </c>
      <c r="O19" s="64">
        <v>4</v>
      </c>
      <c r="P19" s="64">
        <v>4</v>
      </c>
      <c r="Q19" s="64">
        <v>1</v>
      </c>
      <c r="R19" s="64" t="s">
        <v>44</v>
      </c>
      <c r="S19" s="64" t="s">
        <v>44</v>
      </c>
      <c r="T19" s="64">
        <v>2</v>
      </c>
      <c r="U19" s="64">
        <v>2</v>
      </c>
      <c r="V19" s="64">
        <v>3</v>
      </c>
      <c r="W19" s="64">
        <v>4</v>
      </c>
      <c r="X19" s="64">
        <v>2</v>
      </c>
      <c r="Y19" s="64">
        <v>1</v>
      </c>
      <c r="Z19" s="64" t="s">
        <v>44</v>
      </c>
      <c r="AA19" s="64" t="s">
        <v>44</v>
      </c>
      <c r="AB19" s="64">
        <v>6</v>
      </c>
      <c r="AC19" s="64">
        <v>7</v>
      </c>
      <c r="AD19" s="64">
        <v>5</v>
      </c>
      <c r="AE19" s="64">
        <v>4</v>
      </c>
      <c r="AF19" s="64">
        <v>5</v>
      </c>
      <c r="AG19" s="64">
        <v>5</v>
      </c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>
        <v>12</v>
      </c>
      <c r="F20" s="64">
        <v>10</v>
      </c>
      <c r="G20" s="64">
        <v>6</v>
      </c>
      <c r="H20" s="64">
        <v>6</v>
      </c>
      <c r="I20" s="64">
        <v>8</v>
      </c>
      <c r="J20" s="64">
        <v>8</v>
      </c>
      <c r="K20" s="64" t="s">
        <v>44</v>
      </c>
      <c r="L20" s="64" t="s">
        <v>44</v>
      </c>
      <c r="M20" s="64">
        <v>8</v>
      </c>
      <c r="N20" s="64" t="s">
        <v>44</v>
      </c>
      <c r="O20" s="64">
        <v>8</v>
      </c>
      <c r="P20" s="64">
        <v>8</v>
      </c>
      <c r="Q20" s="64">
        <v>2</v>
      </c>
      <c r="R20" s="64" t="s">
        <v>44</v>
      </c>
      <c r="S20" s="64" t="s">
        <v>44</v>
      </c>
      <c r="T20" s="64">
        <v>4</v>
      </c>
      <c r="U20" s="64">
        <v>4</v>
      </c>
      <c r="V20" s="64">
        <v>6</v>
      </c>
      <c r="W20" s="64">
        <v>8</v>
      </c>
      <c r="X20" s="64">
        <v>4</v>
      </c>
      <c r="Y20" s="64">
        <v>2</v>
      </c>
      <c r="Z20" s="64" t="s">
        <v>44</v>
      </c>
      <c r="AA20" s="64" t="s">
        <v>44</v>
      </c>
      <c r="AB20" s="64">
        <v>12</v>
      </c>
      <c r="AC20" s="64">
        <v>14</v>
      </c>
      <c r="AD20" s="64">
        <v>10</v>
      </c>
      <c r="AE20" s="64">
        <v>8</v>
      </c>
      <c r="AF20" s="64">
        <v>10</v>
      </c>
      <c r="AG20" s="64">
        <v>10</v>
      </c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>
        <v>12</v>
      </c>
      <c r="F21" s="64">
        <v>10</v>
      </c>
      <c r="G21" s="64">
        <v>6</v>
      </c>
      <c r="H21" s="64">
        <v>6</v>
      </c>
      <c r="I21" s="64">
        <v>8</v>
      </c>
      <c r="J21" s="64">
        <v>8</v>
      </c>
      <c r="K21" s="64" t="s">
        <v>44</v>
      </c>
      <c r="L21" s="64" t="s">
        <v>44</v>
      </c>
      <c r="M21" s="64">
        <v>8</v>
      </c>
      <c r="N21" s="64" t="s">
        <v>44</v>
      </c>
      <c r="O21" s="64">
        <v>8</v>
      </c>
      <c r="P21" s="64">
        <v>8</v>
      </c>
      <c r="Q21" s="64">
        <v>2</v>
      </c>
      <c r="R21" s="64" t="s">
        <v>44</v>
      </c>
      <c r="S21" s="64" t="s">
        <v>44</v>
      </c>
      <c r="T21" s="64">
        <v>4</v>
      </c>
      <c r="U21" s="64">
        <v>4</v>
      </c>
      <c r="V21" s="64">
        <v>6</v>
      </c>
      <c r="W21" s="64">
        <v>8</v>
      </c>
      <c r="X21" s="64">
        <v>4</v>
      </c>
      <c r="Y21" s="64">
        <v>2</v>
      </c>
      <c r="Z21" s="64" t="s">
        <v>44</v>
      </c>
      <c r="AA21" s="64" t="s">
        <v>44</v>
      </c>
      <c r="AB21" s="64">
        <v>12</v>
      </c>
      <c r="AC21" s="64">
        <v>14</v>
      </c>
      <c r="AD21" s="64">
        <v>10</v>
      </c>
      <c r="AE21" s="64">
        <v>8</v>
      </c>
      <c r="AF21" s="64">
        <v>10</v>
      </c>
      <c r="AG21" s="64">
        <v>10</v>
      </c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>
        <v>6</v>
      </c>
      <c r="F22" s="64">
        <v>5</v>
      </c>
      <c r="G22" s="64">
        <v>3</v>
      </c>
      <c r="H22" s="64">
        <v>3</v>
      </c>
      <c r="I22" s="64">
        <v>4</v>
      </c>
      <c r="J22" s="64">
        <v>4</v>
      </c>
      <c r="K22" s="64" t="s">
        <v>44</v>
      </c>
      <c r="L22" s="64" t="s">
        <v>44</v>
      </c>
      <c r="M22" s="64">
        <v>4</v>
      </c>
      <c r="N22" s="64" t="s">
        <v>44</v>
      </c>
      <c r="O22" s="64">
        <v>4</v>
      </c>
      <c r="P22" s="64">
        <v>4</v>
      </c>
      <c r="Q22" s="64">
        <v>1</v>
      </c>
      <c r="R22" s="64" t="s">
        <v>44</v>
      </c>
      <c r="S22" s="64" t="s">
        <v>44</v>
      </c>
      <c r="T22" s="64">
        <v>2</v>
      </c>
      <c r="U22" s="64">
        <v>2</v>
      </c>
      <c r="V22" s="64">
        <v>3</v>
      </c>
      <c r="W22" s="64">
        <v>4</v>
      </c>
      <c r="X22" s="64">
        <v>2</v>
      </c>
      <c r="Y22" s="64">
        <v>1</v>
      </c>
      <c r="Z22" s="64" t="s">
        <v>44</v>
      </c>
      <c r="AA22" s="64" t="s">
        <v>44</v>
      </c>
      <c r="AB22" s="64">
        <v>6</v>
      </c>
      <c r="AC22" s="64">
        <v>7</v>
      </c>
      <c r="AD22" s="64">
        <v>5</v>
      </c>
      <c r="AE22" s="64">
        <v>4</v>
      </c>
      <c r="AF22" s="64">
        <v>5</v>
      </c>
      <c r="AG22" s="64">
        <v>5</v>
      </c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>
        <v>6</v>
      </c>
      <c r="F23" s="64">
        <v>5</v>
      </c>
      <c r="G23" s="64">
        <v>3</v>
      </c>
      <c r="H23" s="64">
        <v>3</v>
      </c>
      <c r="I23" s="64">
        <v>4</v>
      </c>
      <c r="J23" s="64">
        <v>4</v>
      </c>
      <c r="K23" s="64" t="s">
        <v>44</v>
      </c>
      <c r="L23" s="64" t="s">
        <v>44</v>
      </c>
      <c r="M23" s="64">
        <v>4</v>
      </c>
      <c r="N23" s="64" t="s">
        <v>44</v>
      </c>
      <c r="O23" s="64">
        <v>4</v>
      </c>
      <c r="P23" s="64">
        <v>4</v>
      </c>
      <c r="Q23" s="64">
        <v>1</v>
      </c>
      <c r="R23" s="64" t="s">
        <v>44</v>
      </c>
      <c r="S23" s="64" t="s">
        <v>44</v>
      </c>
      <c r="T23" s="64">
        <v>2</v>
      </c>
      <c r="U23" s="64">
        <v>2</v>
      </c>
      <c r="V23" s="64">
        <v>3</v>
      </c>
      <c r="W23" s="64">
        <v>4</v>
      </c>
      <c r="X23" s="64">
        <v>2</v>
      </c>
      <c r="Y23" s="64">
        <v>1</v>
      </c>
      <c r="Z23" s="64" t="s">
        <v>44</v>
      </c>
      <c r="AA23" s="64" t="s">
        <v>44</v>
      </c>
      <c r="AB23" s="64">
        <v>6</v>
      </c>
      <c r="AC23" s="64">
        <v>7</v>
      </c>
      <c r="AD23" s="64">
        <v>5</v>
      </c>
      <c r="AE23" s="64">
        <v>4</v>
      </c>
      <c r="AF23" s="64">
        <v>5</v>
      </c>
      <c r="AG23" s="64">
        <v>5</v>
      </c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 t="s">
        <v>44</v>
      </c>
      <c r="L24" s="64" t="s">
        <v>44</v>
      </c>
      <c r="M24" s="64">
        <v>0</v>
      </c>
      <c r="N24" s="64" t="s">
        <v>44</v>
      </c>
      <c r="O24" s="64">
        <v>0</v>
      </c>
      <c r="P24" s="64">
        <v>0</v>
      </c>
      <c r="Q24" s="64">
        <v>0</v>
      </c>
      <c r="R24" s="64" t="s">
        <v>44</v>
      </c>
      <c r="S24" s="64" t="s">
        <v>44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 t="s">
        <v>44</v>
      </c>
      <c r="AA24" s="64" t="s">
        <v>44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 t="s">
        <v>44</v>
      </c>
      <c r="L25" s="64" t="s">
        <v>44</v>
      </c>
      <c r="M25" s="64">
        <v>0</v>
      </c>
      <c r="N25" s="64" t="s">
        <v>44</v>
      </c>
      <c r="O25" s="64">
        <v>0</v>
      </c>
      <c r="P25" s="64">
        <v>0</v>
      </c>
      <c r="Q25" s="64">
        <v>0</v>
      </c>
      <c r="R25" s="64" t="s">
        <v>44</v>
      </c>
      <c r="S25" s="64" t="s">
        <v>44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 t="s">
        <v>44</v>
      </c>
      <c r="AA25" s="64" t="s">
        <v>44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 t="s">
        <v>44</v>
      </c>
      <c r="L26" s="64" t="s">
        <v>44</v>
      </c>
      <c r="M26" s="64">
        <v>0</v>
      </c>
      <c r="N26" s="64" t="s">
        <v>44</v>
      </c>
      <c r="O26" s="64">
        <v>0</v>
      </c>
      <c r="P26" s="64">
        <v>0</v>
      </c>
      <c r="Q26" s="64">
        <v>0</v>
      </c>
      <c r="R26" s="64" t="s">
        <v>44</v>
      </c>
      <c r="S26" s="64" t="s">
        <v>44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 t="s">
        <v>44</v>
      </c>
      <c r="AA26" s="64" t="s">
        <v>44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5.25</v>
      </c>
      <c r="F27" s="34">
        <f t="shared" ref="F27:AJ27" si="7">SUM(F19:F26)/8</f>
        <v>4.375</v>
      </c>
      <c r="G27" s="34">
        <f t="shared" si="7"/>
        <v>2.625</v>
      </c>
      <c r="H27" s="34">
        <f t="shared" si="7"/>
        <v>2.625</v>
      </c>
      <c r="I27" s="34">
        <f t="shared" si="7"/>
        <v>3.5</v>
      </c>
      <c r="J27" s="34">
        <f t="shared" si="7"/>
        <v>3.5</v>
      </c>
      <c r="K27" s="34">
        <f t="shared" si="7"/>
        <v>0</v>
      </c>
      <c r="L27" s="34">
        <f t="shared" si="7"/>
        <v>0</v>
      </c>
      <c r="M27" s="34">
        <f t="shared" si="7"/>
        <v>3.5</v>
      </c>
      <c r="N27" s="34">
        <f t="shared" si="7"/>
        <v>0</v>
      </c>
      <c r="O27" s="34">
        <f t="shared" si="7"/>
        <v>3.5</v>
      </c>
      <c r="P27" s="34">
        <f t="shared" si="7"/>
        <v>3.5</v>
      </c>
      <c r="Q27" s="34">
        <f t="shared" si="7"/>
        <v>0.875</v>
      </c>
      <c r="R27" s="34">
        <f t="shared" si="7"/>
        <v>0</v>
      </c>
      <c r="S27" s="34">
        <f t="shared" si="7"/>
        <v>0</v>
      </c>
      <c r="T27" s="34">
        <f t="shared" si="7"/>
        <v>1.75</v>
      </c>
      <c r="U27" s="34">
        <f t="shared" si="7"/>
        <v>1.75</v>
      </c>
      <c r="V27" s="34">
        <f t="shared" si="7"/>
        <v>2.625</v>
      </c>
      <c r="W27" s="34">
        <f t="shared" si="7"/>
        <v>3.5</v>
      </c>
      <c r="X27" s="34">
        <f t="shared" si="7"/>
        <v>1.75</v>
      </c>
      <c r="Y27" s="34">
        <f t="shared" si="7"/>
        <v>0.875</v>
      </c>
      <c r="Z27" s="34">
        <f t="shared" si="7"/>
        <v>0</v>
      </c>
      <c r="AA27" s="34">
        <f t="shared" si="7"/>
        <v>0</v>
      </c>
      <c r="AB27" s="34">
        <f t="shared" si="7"/>
        <v>5.25</v>
      </c>
      <c r="AC27" s="34">
        <f t="shared" si="7"/>
        <v>6.125</v>
      </c>
      <c r="AD27" s="34">
        <f t="shared" si="7"/>
        <v>4.375</v>
      </c>
      <c r="AE27" s="34">
        <f t="shared" si="7"/>
        <v>3.5</v>
      </c>
      <c r="AF27" s="34">
        <f t="shared" si="7"/>
        <v>4.375</v>
      </c>
      <c r="AG27" s="34">
        <f t="shared" si="7"/>
        <v>4.375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40" zoomScaleNormal="40" topLeftCell="C1" workbookViewId="0">
      <selection activeCell="A1" sqref="A1:AJ28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45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 t="s">
        <v>44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 t="s">
        <v>44</v>
      </c>
      <c r="O10" s="64" t="s">
        <v>44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 t="s">
        <v>44</v>
      </c>
      <c r="V10" s="64" t="s">
        <v>44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 t="s">
        <v>44</v>
      </c>
      <c r="AD10" s="64" t="s">
        <v>44</v>
      </c>
      <c r="AE10" s="64">
        <v>0</v>
      </c>
      <c r="AF10" s="64">
        <v>0</v>
      </c>
      <c r="AG10" s="64">
        <v>0</v>
      </c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>
        <v>0</v>
      </c>
      <c r="F11" s="64" t="s">
        <v>44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 t="s">
        <v>44</v>
      </c>
      <c r="O11" s="64" t="s">
        <v>44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 t="s">
        <v>44</v>
      </c>
      <c r="V11" s="64" t="s">
        <v>44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 t="s">
        <v>44</v>
      </c>
      <c r="AD11" s="64" t="s">
        <v>44</v>
      </c>
      <c r="AE11" s="64">
        <v>0</v>
      </c>
      <c r="AF11" s="64">
        <v>0</v>
      </c>
      <c r="AG11" s="64">
        <v>0</v>
      </c>
      <c r="AH11" s="64"/>
      <c r="AI11" s="64"/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3</v>
      </c>
      <c r="F12" s="64" t="s">
        <v>44</v>
      </c>
      <c r="G12" s="64">
        <v>3</v>
      </c>
      <c r="H12" s="64">
        <v>4</v>
      </c>
      <c r="I12" s="64">
        <v>4</v>
      </c>
      <c r="J12" s="64">
        <v>5</v>
      </c>
      <c r="K12" s="64">
        <v>6</v>
      </c>
      <c r="L12" s="64">
        <v>6</v>
      </c>
      <c r="M12" s="64">
        <v>5</v>
      </c>
      <c r="N12" s="64" t="s">
        <v>44</v>
      </c>
      <c r="O12" s="64" t="s">
        <v>44</v>
      </c>
      <c r="P12" s="64">
        <v>3</v>
      </c>
      <c r="Q12" s="64">
        <v>2</v>
      </c>
      <c r="R12" s="64">
        <v>2</v>
      </c>
      <c r="S12" s="64">
        <v>3</v>
      </c>
      <c r="T12" s="64">
        <v>3</v>
      </c>
      <c r="U12" s="64" t="s">
        <v>44</v>
      </c>
      <c r="V12" s="64" t="s">
        <v>44</v>
      </c>
      <c r="W12" s="64">
        <v>3</v>
      </c>
      <c r="X12" s="64">
        <v>4</v>
      </c>
      <c r="Y12" s="64">
        <v>5</v>
      </c>
      <c r="Z12" s="64">
        <v>6</v>
      </c>
      <c r="AA12" s="64">
        <v>5</v>
      </c>
      <c r="AB12" s="64">
        <v>5</v>
      </c>
      <c r="AC12" s="64" t="s">
        <v>44</v>
      </c>
      <c r="AD12" s="64" t="s">
        <v>44</v>
      </c>
      <c r="AE12" s="64">
        <v>6</v>
      </c>
      <c r="AF12" s="64">
        <v>4</v>
      </c>
      <c r="AG12" s="64">
        <v>5</v>
      </c>
      <c r="AH12" s="64"/>
      <c r="AI12" s="64"/>
      <c r="AJ12" s="65">
        <f t="shared" si="1"/>
        <v>1.31428571428571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1</v>
      </c>
      <c r="F13" s="34">
        <f t="shared" ref="F13:AJ13" si="2">SUM(F10:F12)/3</f>
        <v>0</v>
      </c>
      <c r="G13" s="34">
        <f t="shared" si="2"/>
        <v>1</v>
      </c>
      <c r="H13" s="34">
        <f t="shared" si="2"/>
        <v>1.33333333333333</v>
      </c>
      <c r="I13" s="34">
        <f t="shared" si="2"/>
        <v>1.33333333333333</v>
      </c>
      <c r="J13" s="34">
        <f t="shared" si="2"/>
        <v>1.66666666666667</v>
      </c>
      <c r="K13" s="34">
        <f t="shared" si="2"/>
        <v>2</v>
      </c>
      <c r="L13" s="34">
        <f t="shared" si="2"/>
        <v>2</v>
      </c>
      <c r="M13" s="34">
        <f t="shared" si="2"/>
        <v>1.66666666666667</v>
      </c>
      <c r="N13" s="34">
        <f t="shared" si="2"/>
        <v>0</v>
      </c>
      <c r="O13" s="34">
        <f t="shared" si="2"/>
        <v>0</v>
      </c>
      <c r="P13" s="34">
        <f t="shared" si="2"/>
        <v>1</v>
      </c>
      <c r="Q13" s="34">
        <f t="shared" si="2"/>
        <v>0.666666666666667</v>
      </c>
      <c r="R13" s="34">
        <f t="shared" si="2"/>
        <v>0.666666666666667</v>
      </c>
      <c r="S13" s="34">
        <v>0</v>
      </c>
      <c r="T13" s="34">
        <f t="shared" si="2"/>
        <v>1</v>
      </c>
      <c r="U13" s="34">
        <f t="shared" si="2"/>
        <v>0</v>
      </c>
      <c r="V13" s="34">
        <f t="shared" si="2"/>
        <v>0</v>
      </c>
      <c r="W13" s="34">
        <f t="shared" si="2"/>
        <v>1</v>
      </c>
      <c r="X13" s="34">
        <f t="shared" si="2"/>
        <v>1.33333333333333</v>
      </c>
      <c r="Y13" s="34">
        <f t="shared" si="2"/>
        <v>1.66666666666667</v>
      </c>
      <c r="Z13" s="34">
        <f t="shared" si="2"/>
        <v>2</v>
      </c>
      <c r="AA13" s="34">
        <f t="shared" si="2"/>
        <v>1.66666666666667</v>
      </c>
      <c r="AB13" s="34">
        <f t="shared" si="2"/>
        <v>1.66666666666667</v>
      </c>
      <c r="AC13" s="34">
        <f t="shared" si="2"/>
        <v>0</v>
      </c>
      <c r="AD13" s="34">
        <f t="shared" si="2"/>
        <v>0</v>
      </c>
      <c r="AE13" s="34">
        <f t="shared" si="2"/>
        <v>2</v>
      </c>
      <c r="AF13" s="34">
        <f t="shared" si="2"/>
        <v>1.33333333333333</v>
      </c>
      <c r="AG13" s="34">
        <f t="shared" si="2"/>
        <v>1.66666666666667</v>
      </c>
      <c r="AH13" s="34">
        <f t="shared" si="2"/>
        <v>0</v>
      </c>
      <c r="AI13" s="34">
        <f t="shared" si="2"/>
        <v>0</v>
      </c>
      <c r="AJ13" s="42">
        <f t="shared" si="2"/>
        <v>0.438095238095238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3</v>
      </c>
      <c r="F15" s="64" t="s">
        <v>44</v>
      </c>
      <c r="G15" s="64">
        <v>3</v>
      </c>
      <c r="H15" s="64">
        <v>4</v>
      </c>
      <c r="I15" s="64">
        <v>4</v>
      </c>
      <c r="J15" s="64">
        <v>5</v>
      </c>
      <c r="K15" s="64">
        <v>6</v>
      </c>
      <c r="L15" s="64">
        <v>6</v>
      </c>
      <c r="M15" s="64">
        <v>5</v>
      </c>
      <c r="N15" s="64" t="s">
        <v>44</v>
      </c>
      <c r="O15" s="64" t="s">
        <v>44</v>
      </c>
      <c r="P15" s="64">
        <v>3</v>
      </c>
      <c r="Q15" s="64">
        <v>2</v>
      </c>
      <c r="R15" s="64">
        <v>2</v>
      </c>
      <c r="S15" s="64">
        <v>3</v>
      </c>
      <c r="T15" s="64">
        <v>3</v>
      </c>
      <c r="U15" s="64" t="s">
        <v>44</v>
      </c>
      <c r="V15" s="64" t="s">
        <v>44</v>
      </c>
      <c r="W15" s="64">
        <v>3</v>
      </c>
      <c r="X15" s="64">
        <v>4</v>
      </c>
      <c r="Y15" s="64">
        <v>5</v>
      </c>
      <c r="Z15" s="64">
        <v>6</v>
      </c>
      <c r="AA15" s="64">
        <v>5</v>
      </c>
      <c r="AB15" s="64">
        <v>5</v>
      </c>
      <c r="AC15" s="64" t="s">
        <v>44</v>
      </c>
      <c r="AD15" s="64" t="s">
        <v>44</v>
      </c>
      <c r="AE15" s="64">
        <v>6</v>
      </c>
      <c r="AF15" s="64">
        <v>4</v>
      </c>
      <c r="AG15" s="64">
        <v>5</v>
      </c>
      <c r="AH15" s="64"/>
      <c r="AI15" s="64"/>
      <c r="AJ15" s="65">
        <f>SUM(E15:AI15)/AM15*10/100</f>
        <v>0.328571428571429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>
        <v>3</v>
      </c>
      <c r="F16" s="64" t="s">
        <v>44</v>
      </c>
      <c r="G16" s="64">
        <v>3</v>
      </c>
      <c r="H16" s="64">
        <v>4</v>
      </c>
      <c r="I16" s="64">
        <v>4</v>
      </c>
      <c r="J16" s="64">
        <v>5</v>
      </c>
      <c r="K16" s="64">
        <v>6</v>
      </c>
      <c r="L16" s="64">
        <v>6</v>
      </c>
      <c r="M16" s="64">
        <v>5</v>
      </c>
      <c r="N16" s="64" t="s">
        <v>44</v>
      </c>
      <c r="O16" s="64" t="s">
        <v>44</v>
      </c>
      <c r="P16" s="64">
        <v>3</v>
      </c>
      <c r="Q16" s="64">
        <v>2</v>
      </c>
      <c r="R16" s="64">
        <v>2</v>
      </c>
      <c r="S16" s="64">
        <v>3</v>
      </c>
      <c r="T16" s="64">
        <v>3</v>
      </c>
      <c r="U16" s="64" t="s">
        <v>44</v>
      </c>
      <c r="V16" s="64" t="s">
        <v>44</v>
      </c>
      <c r="W16" s="64">
        <v>3</v>
      </c>
      <c r="X16" s="64">
        <v>4</v>
      </c>
      <c r="Y16" s="64">
        <v>5</v>
      </c>
      <c r="Z16" s="64">
        <v>6</v>
      </c>
      <c r="AA16" s="64">
        <v>5</v>
      </c>
      <c r="AB16" s="64">
        <v>5</v>
      </c>
      <c r="AC16" s="64" t="s">
        <v>44</v>
      </c>
      <c r="AD16" s="64" t="s">
        <v>44</v>
      </c>
      <c r="AE16" s="64">
        <v>6</v>
      </c>
      <c r="AF16" s="64">
        <v>4</v>
      </c>
      <c r="AG16" s="64">
        <v>5</v>
      </c>
      <c r="AH16" s="64"/>
      <c r="AI16" s="64"/>
      <c r="AJ16" s="65">
        <f t="shared" ref="AJ16" si="3">SUM(E16:AI16)/AM16*10/100</f>
        <v>0.328571428571429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2</v>
      </c>
      <c r="F17" s="34">
        <f t="shared" si="4"/>
        <v>0</v>
      </c>
      <c r="G17" s="34">
        <f t="shared" si="4"/>
        <v>2</v>
      </c>
      <c r="H17" s="34">
        <f t="shared" si="4"/>
        <v>2.66666666666667</v>
      </c>
      <c r="I17" s="34">
        <f t="shared" si="4"/>
        <v>2.66666666666667</v>
      </c>
      <c r="J17" s="34">
        <f t="shared" si="4"/>
        <v>3.33333333333333</v>
      </c>
      <c r="K17" s="34">
        <f t="shared" si="4"/>
        <v>4</v>
      </c>
      <c r="L17" s="34">
        <f t="shared" si="4"/>
        <v>4</v>
      </c>
      <c r="M17" s="34">
        <f t="shared" si="4"/>
        <v>3.33333333333333</v>
      </c>
      <c r="N17" s="34">
        <f t="shared" si="4"/>
        <v>0</v>
      </c>
      <c r="O17" s="34">
        <f t="shared" si="4"/>
        <v>0</v>
      </c>
      <c r="P17" s="34">
        <f t="shared" si="4"/>
        <v>2</v>
      </c>
      <c r="Q17" s="34">
        <f t="shared" si="4"/>
        <v>1.33333333333333</v>
      </c>
      <c r="R17" s="34">
        <f t="shared" si="4"/>
        <v>1.33333333333333</v>
      </c>
      <c r="S17" s="34">
        <f t="shared" si="4"/>
        <v>2</v>
      </c>
      <c r="T17" s="34">
        <f t="shared" si="4"/>
        <v>2</v>
      </c>
      <c r="U17" s="34">
        <f t="shared" si="4"/>
        <v>0</v>
      </c>
      <c r="V17" s="34">
        <f t="shared" si="4"/>
        <v>0</v>
      </c>
      <c r="W17" s="34">
        <f t="shared" si="4"/>
        <v>2</v>
      </c>
      <c r="X17" s="34">
        <f t="shared" si="4"/>
        <v>2.66666666666667</v>
      </c>
      <c r="Y17" s="34">
        <f t="shared" si="4"/>
        <v>3.33333333333333</v>
      </c>
      <c r="Z17" s="34">
        <f t="shared" si="4"/>
        <v>4</v>
      </c>
      <c r="AA17" s="34">
        <f t="shared" si="4"/>
        <v>3.33333333333333</v>
      </c>
      <c r="AB17" s="34">
        <f t="shared" si="4"/>
        <v>3.33333333333333</v>
      </c>
      <c r="AC17" s="34">
        <f t="shared" si="4"/>
        <v>0</v>
      </c>
      <c r="AD17" s="34">
        <f t="shared" si="4"/>
        <v>0</v>
      </c>
      <c r="AE17" s="34">
        <f t="shared" si="4"/>
        <v>4</v>
      </c>
      <c r="AF17" s="34">
        <f t="shared" si="4"/>
        <v>2.66666666666667</v>
      </c>
      <c r="AG17" s="34">
        <f t="shared" si="4"/>
        <v>3.33333333333333</v>
      </c>
      <c r="AH17" s="34">
        <f t="shared" si="4"/>
        <v>0</v>
      </c>
      <c r="AI17" s="34">
        <f t="shared" si="4"/>
        <v>0</v>
      </c>
      <c r="AJ17" s="42">
        <f t="shared" si="4"/>
        <v>0.219047619047619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>
        <v>3</v>
      </c>
      <c r="F19" s="64" t="s">
        <v>44</v>
      </c>
      <c r="G19" s="64">
        <v>3</v>
      </c>
      <c r="H19" s="64">
        <v>4</v>
      </c>
      <c r="I19" s="64">
        <v>4</v>
      </c>
      <c r="J19" s="64">
        <v>5</v>
      </c>
      <c r="K19" s="64">
        <v>6</v>
      </c>
      <c r="L19" s="64">
        <v>6</v>
      </c>
      <c r="M19" s="64">
        <v>5</v>
      </c>
      <c r="N19" s="64" t="s">
        <v>44</v>
      </c>
      <c r="O19" s="64" t="s">
        <v>44</v>
      </c>
      <c r="P19" s="64">
        <v>3</v>
      </c>
      <c r="Q19" s="64">
        <v>2</v>
      </c>
      <c r="R19" s="64">
        <v>2</v>
      </c>
      <c r="S19" s="64">
        <v>3</v>
      </c>
      <c r="T19" s="64">
        <v>3</v>
      </c>
      <c r="U19" s="64" t="s">
        <v>44</v>
      </c>
      <c r="V19" s="64" t="s">
        <v>44</v>
      </c>
      <c r="W19" s="64">
        <v>3</v>
      </c>
      <c r="X19" s="64">
        <v>4</v>
      </c>
      <c r="Y19" s="64">
        <v>5</v>
      </c>
      <c r="Z19" s="64">
        <v>6</v>
      </c>
      <c r="AA19" s="64">
        <v>5</v>
      </c>
      <c r="AB19" s="64">
        <v>5</v>
      </c>
      <c r="AC19" s="64" t="s">
        <v>44</v>
      </c>
      <c r="AD19" s="64" t="s">
        <v>44</v>
      </c>
      <c r="AE19" s="64">
        <v>6</v>
      </c>
      <c r="AF19" s="64">
        <v>4</v>
      </c>
      <c r="AG19" s="64">
        <v>5</v>
      </c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>
        <v>6</v>
      </c>
      <c r="F20" s="64" t="s">
        <v>44</v>
      </c>
      <c r="G20" s="64">
        <v>6</v>
      </c>
      <c r="H20" s="64">
        <v>8</v>
      </c>
      <c r="I20" s="64">
        <v>8</v>
      </c>
      <c r="J20" s="64">
        <v>10</v>
      </c>
      <c r="K20" s="64">
        <v>12</v>
      </c>
      <c r="L20" s="64">
        <v>12</v>
      </c>
      <c r="M20" s="64">
        <v>10</v>
      </c>
      <c r="N20" s="64" t="s">
        <v>44</v>
      </c>
      <c r="O20" s="64" t="s">
        <v>44</v>
      </c>
      <c r="P20" s="64">
        <v>6</v>
      </c>
      <c r="Q20" s="64">
        <v>4</v>
      </c>
      <c r="R20" s="64">
        <v>4</v>
      </c>
      <c r="S20" s="64">
        <v>6</v>
      </c>
      <c r="T20" s="64">
        <v>6</v>
      </c>
      <c r="U20" s="64" t="s">
        <v>44</v>
      </c>
      <c r="V20" s="64" t="s">
        <v>44</v>
      </c>
      <c r="W20" s="64">
        <v>6</v>
      </c>
      <c r="X20" s="64">
        <v>8</v>
      </c>
      <c r="Y20" s="64">
        <v>10</v>
      </c>
      <c r="Z20" s="64">
        <v>12</v>
      </c>
      <c r="AA20" s="64">
        <v>10</v>
      </c>
      <c r="AB20" s="64">
        <v>10</v>
      </c>
      <c r="AC20" s="64" t="s">
        <v>44</v>
      </c>
      <c r="AD20" s="64" t="s">
        <v>44</v>
      </c>
      <c r="AE20" s="64">
        <v>12</v>
      </c>
      <c r="AF20" s="64">
        <v>8</v>
      </c>
      <c r="AG20" s="64">
        <v>10</v>
      </c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>
        <v>6</v>
      </c>
      <c r="F21" s="64" t="s">
        <v>44</v>
      </c>
      <c r="G21" s="64">
        <v>6</v>
      </c>
      <c r="H21" s="64">
        <v>8</v>
      </c>
      <c r="I21" s="64">
        <v>8</v>
      </c>
      <c r="J21" s="64">
        <v>10</v>
      </c>
      <c r="K21" s="64">
        <v>12</v>
      </c>
      <c r="L21" s="64">
        <v>12</v>
      </c>
      <c r="M21" s="64">
        <v>10</v>
      </c>
      <c r="N21" s="64" t="s">
        <v>44</v>
      </c>
      <c r="O21" s="64" t="s">
        <v>44</v>
      </c>
      <c r="P21" s="64">
        <v>6</v>
      </c>
      <c r="Q21" s="64">
        <v>4</v>
      </c>
      <c r="R21" s="64">
        <v>4</v>
      </c>
      <c r="S21" s="64">
        <v>6</v>
      </c>
      <c r="T21" s="64">
        <v>6</v>
      </c>
      <c r="U21" s="64" t="s">
        <v>44</v>
      </c>
      <c r="V21" s="64" t="s">
        <v>44</v>
      </c>
      <c r="W21" s="64">
        <v>6</v>
      </c>
      <c r="X21" s="64">
        <v>8</v>
      </c>
      <c r="Y21" s="64">
        <v>10</v>
      </c>
      <c r="Z21" s="64">
        <v>12</v>
      </c>
      <c r="AA21" s="64">
        <v>10</v>
      </c>
      <c r="AB21" s="64">
        <v>10</v>
      </c>
      <c r="AC21" s="64" t="s">
        <v>44</v>
      </c>
      <c r="AD21" s="64" t="s">
        <v>44</v>
      </c>
      <c r="AE21" s="64">
        <v>12</v>
      </c>
      <c r="AF21" s="64">
        <v>8</v>
      </c>
      <c r="AG21" s="64">
        <v>10</v>
      </c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>
        <v>3</v>
      </c>
      <c r="F22" s="64" t="s">
        <v>44</v>
      </c>
      <c r="G22" s="64">
        <v>3</v>
      </c>
      <c r="H22" s="64">
        <v>4</v>
      </c>
      <c r="I22" s="64">
        <v>4</v>
      </c>
      <c r="J22" s="64">
        <v>5</v>
      </c>
      <c r="K22" s="64">
        <v>6</v>
      </c>
      <c r="L22" s="64">
        <v>6</v>
      </c>
      <c r="M22" s="64">
        <v>5</v>
      </c>
      <c r="N22" s="64" t="s">
        <v>44</v>
      </c>
      <c r="O22" s="64" t="s">
        <v>44</v>
      </c>
      <c r="P22" s="64">
        <v>3</v>
      </c>
      <c r="Q22" s="64">
        <v>2</v>
      </c>
      <c r="R22" s="64">
        <v>2</v>
      </c>
      <c r="S22" s="64">
        <v>3</v>
      </c>
      <c r="T22" s="64">
        <v>3</v>
      </c>
      <c r="U22" s="64" t="s">
        <v>44</v>
      </c>
      <c r="V22" s="64" t="s">
        <v>44</v>
      </c>
      <c r="W22" s="64">
        <v>3</v>
      </c>
      <c r="X22" s="64">
        <v>4</v>
      </c>
      <c r="Y22" s="64">
        <v>5</v>
      </c>
      <c r="Z22" s="64">
        <v>6</v>
      </c>
      <c r="AA22" s="64">
        <v>5</v>
      </c>
      <c r="AB22" s="64">
        <v>5</v>
      </c>
      <c r="AC22" s="64" t="s">
        <v>44</v>
      </c>
      <c r="AD22" s="64" t="s">
        <v>44</v>
      </c>
      <c r="AE22" s="64">
        <v>6</v>
      </c>
      <c r="AF22" s="64">
        <v>4</v>
      </c>
      <c r="AG22" s="64">
        <v>5</v>
      </c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>
        <v>3</v>
      </c>
      <c r="F23" s="64" t="s">
        <v>44</v>
      </c>
      <c r="G23" s="64">
        <v>3</v>
      </c>
      <c r="H23" s="64">
        <v>4</v>
      </c>
      <c r="I23" s="64">
        <v>4</v>
      </c>
      <c r="J23" s="64">
        <v>5</v>
      </c>
      <c r="K23" s="64">
        <v>6</v>
      </c>
      <c r="L23" s="64">
        <v>6</v>
      </c>
      <c r="M23" s="64">
        <v>5</v>
      </c>
      <c r="N23" s="64" t="s">
        <v>44</v>
      </c>
      <c r="O23" s="64" t="s">
        <v>44</v>
      </c>
      <c r="P23" s="64">
        <v>3</v>
      </c>
      <c r="Q23" s="64">
        <v>2</v>
      </c>
      <c r="R23" s="64">
        <v>2</v>
      </c>
      <c r="S23" s="64">
        <v>3</v>
      </c>
      <c r="T23" s="64">
        <v>3</v>
      </c>
      <c r="U23" s="64" t="s">
        <v>44</v>
      </c>
      <c r="V23" s="64" t="s">
        <v>44</v>
      </c>
      <c r="W23" s="64">
        <v>3</v>
      </c>
      <c r="X23" s="64">
        <v>4</v>
      </c>
      <c r="Y23" s="64">
        <v>5</v>
      </c>
      <c r="Z23" s="64">
        <v>6</v>
      </c>
      <c r="AA23" s="64">
        <v>5</v>
      </c>
      <c r="AB23" s="64">
        <v>5</v>
      </c>
      <c r="AC23" s="64" t="s">
        <v>44</v>
      </c>
      <c r="AD23" s="64" t="s">
        <v>44</v>
      </c>
      <c r="AE23" s="64">
        <v>6</v>
      </c>
      <c r="AF23" s="64">
        <v>4</v>
      </c>
      <c r="AG23" s="64">
        <v>5</v>
      </c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>
        <v>1</v>
      </c>
      <c r="F24" s="64" t="s">
        <v>44</v>
      </c>
      <c r="G24" s="64">
        <v>1</v>
      </c>
      <c r="H24" s="64">
        <v>1</v>
      </c>
      <c r="I24" s="64">
        <v>1</v>
      </c>
      <c r="J24" s="64">
        <v>1</v>
      </c>
      <c r="K24" s="64">
        <v>1</v>
      </c>
      <c r="L24" s="64">
        <v>0</v>
      </c>
      <c r="M24" s="64">
        <v>1</v>
      </c>
      <c r="N24" s="64" t="s">
        <v>44</v>
      </c>
      <c r="O24" s="64" t="s">
        <v>44</v>
      </c>
      <c r="P24" s="64">
        <v>1</v>
      </c>
      <c r="Q24" s="64">
        <v>0</v>
      </c>
      <c r="R24" s="64">
        <v>0</v>
      </c>
      <c r="S24" s="64">
        <v>0</v>
      </c>
      <c r="T24" s="64">
        <v>0</v>
      </c>
      <c r="U24" s="64" t="s">
        <v>44</v>
      </c>
      <c r="V24" s="64" t="s">
        <v>44</v>
      </c>
      <c r="W24" s="64">
        <v>1</v>
      </c>
      <c r="X24" s="64">
        <v>1</v>
      </c>
      <c r="Y24" s="64">
        <v>1</v>
      </c>
      <c r="Z24" s="64">
        <v>1</v>
      </c>
      <c r="AA24" s="64">
        <v>0</v>
      </c>
      <c r="AB24" s="64">
        <v>0</v>
      </c>
      <c r="AC24" s="64" t="s">
        <v>44</v>
      </c>
      <c r="AD24" s="64" t="s">
        <v>44</v>
      </c>
      <c r="AE24" s="64">
        <v>1</v>
      </c>
      <c r="AF24" s="64">
        <v>1</v>
      </c>
      <c r="AG24" s="64">
        <v>1</v>
      </c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>
        <v>0</v>
      </c>
      <c r="F25" s="64" t="s">
        <v>44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 t="s">
        <v>44</v>
      </c>
      <c r="O25" s="64" t="s">
        <v>44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 t="s">
        <v>44</v>
      </c>
      <c r="V25" s="64" t="s">
        <v>44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 t="s">
        <v>44</v>
      </c>
      <c r="AD25" s="64" t="s">
        <v>44</v>
      </c>
      <c r="AE25" s="64">
        <v>0</v>
      </c>
      <c r="AF25" s="64">
        <v>0</v>
      </c>
      <c r="AG25" s="64">
        <v>0</v>
      </c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>
        <v>0</v>
      </c>
      <c r="F26" s="64" t="s">
        <v>44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 t="s">
        <v>44</v>
      </c>
      <c r="O26" s="64" t="s">
        <v>44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 t="s">
        <v>44</v>
      </c>
      <c r="V26" s="64" t="s">
        <v>44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 t="s">
        <v>44</v>
      </c>
      <c r="AD26" s="64" t="s">
        <v>44</v>
      </c>
      <c r="AE26" s="64">
        <v>0</v>
      </c>
      <c r="AF26" s="64">
        <v>0</v>
      </c>
      <c r="AG26" s="64">
        <v>0</v>
      </c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2.75</v>
      </c>
      <c r="F27" s="34">
        <f t="shared" ref="F27:AJ27" si="7">SUM(F19:F26)/8</f>
        <v>0</v>
      </c>
      <c r="G27" s="34">
        <f t="shared" si="7"/>
        <v>2.75</v>
      </c>
      <c r="H27" s="34">
        <f t="shared" si="7"/>
        <v>3.625</v>
      </c>
      <c r="I27" s="34">
        <f t="shared" si="7"/>
        <v>3.625</v>
      </c>
      <c r="J27" s="34">
        <f t="shared" si="7"/>
        <v>4.5</v>
      </c>
      <c r="K27" s="34">
        <f t="shared" si="7"/>
        <v>5.375</v>
      </c>
      <c r="L27" s="34">
        <f t="shared" si="7"/>
        <v>5.25</v>
      </c>
      <c r="M27" s="34">
        <f t="shared" si="7"/>
        <v>4.5</v>
      </c>
      <c r="N27" s="34">
        <f t="shared" si="7"/>
        <v>0</v>
      </c>
      <c r="O27" s="34">
        <f t="shared" si="7"/>
        <v>0</v>
      </c>
      <c r="P27" s="34">
        <f t="shared" si="7"/>
        <v>2.75</v>
      </c>
      <c r="Q27" s="34">
        <f t="shared" si="7"/>
        <v>1.75</v>
      </c>
      <c r="R27" s="34">
        <f t="shared" si="7"/>
        <v>1.75</v>
      </c>
      <c r="S27" s="34">
        <f t="shared" si="7"/>
        <v>2.625</v>
      </c>
      <c r="T27" s="34">
        <f t="shared" si="7"/>
        <v>2.625</v>
      </c>
      <c r="U27" s="34">
        <f t="shared" si="7"/>
        <v>0</v>
      </c>
      <c r="V27" s="34">
        <f t="shared" si="7"/>
        <v>0</v>
      </c>
      <c r="W27" s="34">
        <f t="shared" si="7"/>
        <v>2.75</v>
      </c>
      <c r="X27" s="34">
        <f t="shared" si="7"/>
        <v>3.625</v>
      </c>
      <c r="Y27" s="34">
        <f t="shared" si="7"/>
        <v>4.5</v>
      </c>
      <c r="Z27" s="34">
        <f t="shared" si="7"/>
        <v>5.375</v>
      </c>
      <c r="AA27" s="34">
        <f t="shared" si="7"/>
        <v>4.375</v>
      </c>
      <c r="AB27" s="34">
        <f t="shared" si="7"/>
        <v>4.375</v>
      </c>
      <c r="AC27" s="34">
        <f t="shared" si="7"/>
        <v>0</v>
      </c>
      <c r="AD27" s="34">
        <f t="shared" si="7"/>
        <v>0</v>
      </c>
      <c r="AE27" s="34">
        <f t="shared" si="7"/>
        <v>5.375</v>
      </c>
      <c r="AF27" s="34">
        <f t="shared" si="7"/>
        <v>3.625</v>
      </c>
      <c r="AG27" s="34">
        <f t="shared" si="7"/>
        <v>4.5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74" zoomScaleNormal="74" workbookViewId="0">
      <selection activeCell="A2" sqref="A2:AM28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46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>
        <v>0</v>
      </c>
      <c r="F10" s="64" t="s">
        <v>44</v>
      </c>
      <c r="G10" s="64" t="s">
        <v>44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 t="s">
        <v>44</v>
      </c>
      <c r="N10" s="64">
        <v>0</v>
      </c>
      <c r="O10" s="64">
        <v>0</v>
      </c>
      <c r="P10" s="64">
        <v>0</v>
      </c>
      <c r="Q10" s="64">
        <v>0</v>
      </c>
      <c r="R10" s="64" t="s">
        <v>44</v>
      </c>
      <c r="S10" s="64">
        <v>0</v>
      </c>
      <c r="T10" s="64">
        <v>0</v>
      </c>
      <c r="U10" s="64">
        <v>0</v>
      </c>
      <c r="V10" s="64" t="s">
        <v>44</v>
      </c>
      <c r="W10" s="64" t="s">
        <v>44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/>
      <c r="AE10" s="64"/>
      <c r="AF10" s="64"/>
      <c r="AG10" s="64"/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>
        <v>0</v>
      </c>
      <c r="F11" s="64" t="s">
        <v>44</v>
      </c>
      <c r="G11" s="64" t="s">
        <v>44</v>
      </c>
      <c r="H11" s="64">
        <v>0</v>
      </c>
      <c r="I11" s="64">
        <v>0</v>
      </c>
      <c r="J11" s="64">
        <v>6</v>
      </c>
      <c r="K11" s="64">
        <v>0</v>
      </c>
      <c r="L11" s="64">
        <v>0</v>
      </c>
      <c r="M11" s="64" t="s">
        <v>44</v>
      </c>
      <c r="N11" s="64">
        <v>0</v>
      </c>
      <c r="O11" s="64">
        <v>0</v>
      </c>
      <c r="P11" s="64">
        <v>0</v>
      </c>
      <c r="Q11" s="64">
        <v>0</v>
      </c>
      <c r="R11" s="64" t="s">
        <v>44</v>
      </c>
      <c r="S11" s="64">
        <v>0</v>
      </c>
      <c r="T11" s="64">
        <v>0</v>
      </c>
      <c r="U11" s="64">
        <v>0</v>
      </c>
      <c r="V11" s="64" t="s">
        <v>44</v>
      </c>
      <c r="W11" s="64" t="s">
        <v>44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/>
      <c r="AE11" s="64"/>
      <c r="AF11" s="64"/>
      <c r="AG11" s="64"/>
      <c r="AH11" s="64"/>
      <c r="AI11" s="64"/>
      <c r="AJ11" s="65">
        <f t="shared" ref="AJ11:AJ12" si="1">SUM(E11:AI11)/AM9*40/100</f>
        <v>0.0857142857142857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>
        <v>5</v>
      </c>
      <c r="F12" s="64" t="s">
        <v>44</v>
      </c>
      <c r="G12" s="64" t="s">
        <v>44</v>
      </c>
      <c r="H12" s="64">
        <v>7</v>
      </c>
      <c r="I12" s="64">
        <v>6</v>
      </c>
      <c r="J12" s="64">
        <v>6</v>
      </c>
      <c r="K12" s="64">
        <v>4</v>
      </c>
      <c r="L12" s="64">
        <v>4</v>
      </c>
      <c r="M12" s="64" t="s">
        <v>44</v>
      </c>
      <c r="N12" s="64">
        <v>7</v>
      </c>
      <c r="O12" s="64">
        <v>5</v>
      </c>
      <c r="P12" s="64">
        <v>5</v>
      </c>
      <c r="Q12" s="64">
        <v>8</v>
      </c>
      <c r="R12" s="64" t="s">
        <v>44</v>
      </c>
      <c r="S12" s="64">
        <v>6</v>
      </c>
      <c r="T12" s="64">
        <v>5</v>
      </c>
      <c r="U12" s="64">
        <v>3</v>
      </c>
      <c r="V12" s="64" t="s">
        <v>44</v>
      </c>
      <c r="W12" s="64" t="s">
        <v>44</v>
      </c>
      <c r="X12" s="64">
        <v>4</v>
      </c>
      <c r="Y12" s="64">
        <v>4</v>
      </c>
      <c r="Z12" s="64">
        <v>3</v>
      </c>
      <c r="AA12" s="64">
        <v>3</v>
      </c>
      <c r="AB12" s="64">
        <v>3</v>
      </c>
      <c r="AC12" s="64">
        <v>2</v>
      </c>
      <c r="AD12" s="64"/>
      <c r="AE12" s="64"/>
      <c r="AF12" s="64"/>
      <c r="AG12" s="64"/>
      <c r="AH12" s="64"/>
      <c r="AI12" s="64"/>
      <c r="AJ12" s="65">
        <f t="shared" si="1"/>
        <v>1.28571428571429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1.66666666666667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2.33333333333333</v>
      </c>
      <c r="I13" s="34">
        <f t="shared" si="2"/>
        <v>2</v>
      </c>
      <c r="J13" s="34">
        <f t="shared" si="2"/>
        <v>4</v>
      </c>
      <c r="K13" s="34">
        <f t="shared" si="2"/>
        <v>1.33333333333333</v>
      </c>
      <c r="L13" s="34">
        <f t="shared" si="2"/>
        <v>1.33333333333333</v>
      </c>
      <c r="M13" s="34">
        <f t="shared" si="2"/>
        <v>0</v>
      </c>
      <c r="N13" s="34">
        <f t="shared" si="2"/>
        <v>2.33333333333333</v>
      </c>
      <c r="O13" s="34">
        <f t="shared" si="2"/>
        <v>1.66666666666667</v>
      </c>
      <c r="P13" s="34">
        <f t="shared" si="2"/>
        <v>1.66666666666667</v>
      </c>
      <c r="Q13" s="34">
        <f t="shared" si="2"/>
        <v>2.66666666666667</v>
      </c>
      <c r="R13" s="34">
        <f t="shared" si="2"/>
        <v>0</v>
      </c>
      <c r="S13" s="34">
        <v>0</v>
      </c>
      <c r="T13" s="34">
        <f t="shared" si="2"/>
        <v>1.66666666666667</v>
      </c>
      <c r="U13" s="34">
        <f t="shared" si="2"/>
        <v>1</v>
      </c>
      <c r="V13" s="34">
        <f t="shared" si="2"/>
        <v>0</v>
      </c>
      <c r="W13" s="34">
        <f t="shared" si="2"/>
        <v>0</v>
      </c>
      <c r="X13" s="34">
        <f t="shared" si="2"/>
        <v>1.33333333333333</v>
      </c>
      <c r="Y13" s="34">
        <f t="shared" si="2"/>
        <v>1.33333333333333</v>
      </c>
      <c r="Z13" s="34">
        <f t="shared" si="2"/>
        <v>1</v>
      </c>
      <c r="AA13" s="34">
        <f t="shared" si="2"/>
        <v>1</v>
      </c>
      <c r="AB13" s="34">
        <f t="shared" si="2"/>
        <v>1</v>
      </c>
      <c r="AC13" s="34">
        <f t="shared" si="2"/>
        <v>0.666666666666667</v>
      </c>
      <c r="AD13" s="34">
        <f t="shared" si="2"/>
        <v>0</v>
      </c>
      <c r="AE13" s="34">
        <f t="shared" si="2"/>
        <v>0</v>
      </c>
      <c r="AF13" s="34">
        <f t="shared" si="2"/>
        <v>0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0.457142857142857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>
        <v>5</v>
      </c>
      <c r="F15" s="64" t="s">
        <v>44</v>
      </c>
      <c r="G15" s="64" t="s">
        <v>44</v>
      </c>
      <c r="H15" s="64">
        <v>7</v>
      </c>
      <c r="I15" s="64">
        <v>6</v>
      </c>
      <c r="J15" s="64">
        <v>6</v>
      </c>
      <c r="K15" s="64">
        <v>4</v>
      </c>
      <c r="L15" s="64">
        <v>4</v>
      </c>
      <c r="M15" s="64" t="s">
        <v>44</v>
      </c>
      <c r="N15" s="64">
        <v>7</v>
      </c>
      <c r="O15" s="64">
        <v>5</v>
      </c>
      <c r="P15" s="64">
        <v>5</v>
      </c>
      <c r="Q15" s="64">
        <v>8</v>
      </c>
      <c r="R15" s="64" t="s">
        <v>44</v>
      </c>
      <c r="S15" s="64">
        <v>6</v>
      </c>
      <c r="T15" s="64">
        <v>5</v>
      </c>
      <c r="U15" s="64">
        <v>3</v>
      </c>
      <c r="V15" s="64" t="s">
        <v>44</v>
      </c>
      <c r="W15" s="64" t="s">
        <v>44</v>
      </c>
      <c r="X15" s="64">
        <v>4</v>
      </c>
      <c r="Y15" s="64">
        <v>4</v>
      </c>
      <c r="Z15" s="64">
        <v>3</v>
      </c>
      <c r="AA15" s="64">
        <v>3</v>
      </c>
      <c r="AB15" s="64">
        <v>3</v>
      </c>
      <c r="AC15" s="64">
        <v>2</v>
      </c>
      <c r="AD15" s="64"/>
      <c r="AE15" s="64"/>
      <c r="AF15" s="64"/>
      <c r="AG15" s="64"/>
      <c r="AH15" s="64"/>
      <c r="AI15" s="64"/>
      <c r="AJ15" s="65">
        <f>SUM(E15:AI15)/AM15*10/100</f>
        <v>0.321428571428571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>
        <v>5</v>
      </c>
      <c r="F16" s="64" t="s">
        <v>44</v>
      </c>
      <c r="G16" s="64" t="s">
        <v>44</v>
      </c>
      <c r="H16" s="64">
        <v>7</v>
      </c>
      <c r="I16" s="64">
        <v>6</v>
      </c>
      <c r="J16" s="64">
        <v>6</v>
      </c>
      <c r="K16" s="64">
        <v>4</v>
      </c>
      <c r="L16" s="64">
        <v>4</v>
      </c>
      <c r="M16" s="64" t="s">
        <v>44</v>
      </c>
      <c r="N16" s="64">
        <v>7</v>
      </c>
      <c r="O16" s="64">
        <v>5</v>
      </c>
      <c r="P16" s="64">
        <v>5</v>
      </c>
      <c r="Q16" s="64">
        <v>8</v>
      </c>
      <c r="R16" s="64" t="s">
        <v>44</v>
      </c>
      <c r="S16" s="64">
        <v>6</v>
      </c>
      <c r="T16" s="64">
        <v>5</v>
      </c>
      <c r="U16" s="64">
        <v>3</v>
      </c>
      <c r="V16" s="64" t="s">
        <v>44</v>
      </c>
      <c r="W16" s="64" t="s">
        <v>44</v>
      </c>
      <c r="X16" s="64">
        <v>4</v>
      </c>
      <c r="Y16" s="64">
        <v>4</v>
      </c>
      <c r="Z16" s="64">
        <v>3</v>
      </c>
      <c r="AA16" s="64">
        <v>3</v>
      </c>
      <c r="AB16" s="64">
        <v>3</v>
      </c>
      <c r="AC16" s="64">
        <v>2</v>
      </c>
      <c r="AD16" s="64"/>
      <c r="AE16" s="64"/>
      <c r="AF16" s="64"/>
      <c r="AG16" s="64"/>
      <c r="AH16" s="64"/>
      <c r="AI16" s="64"/>
      <c r="AJ16" s="65">
        <f t="shared" ref="AJ16" si="3">SUM(E16:AI16)/AM16*10/100</f>
        <v>0.321428571428571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3.33333333333333</v>
      </c>
      <c r="F17" s="34">
        <f t="shared" si="4"/>
        <v>0</v>
      </c>
      <c r="G17" s="34">
        <f t="shared" si="4"/>
        <v>0</v>
      </c>
      <c r="H17" s="34">
        <f t="shared" si="4"/>
        <v>4.66666666666667</v>
      </c>
      <c r="I17" s="34">
        <f t="shared" si="4"/>
        <v>4</v>
      </c>
      <c r="J17" s="34">
        <f t="shared" si="4"/>
        <v>4</v>
      </c>
      <c r="K17" s="34">
        <f t="shared" si="4"/>
        <v>2.66666666666667</v>
      </c>
      <c r="L17" s="34">
        <f t="shared" si="4"/>
        <v>2.66666666666667</v>
      </c>
      <c r="M17" s="34">
        <f t="shared" si="4"/>
        <v>0</v>
      </c>
      <c r="N17" s="34">
        <f t="shared" si="4"/>
        <v>4.66666666666667</v>
      </c>
      <c r="O17" s="34">
        <f t="shared" si="4"/>
        <v>3.33333333333333</v>
      </c>
      <c r="P17" s="34">
        <f t="shared" si="4"/>
        <v>3.33333333333333</v>
      </c>
      <c r="Q17" s="34">
        <f t="shared" si="4"/>
        <v>5.33333333333333</v>
      </c>
      <c r="R17" s="34">
        <f t="shared" si="4"/>
        <v>0</v>
      </c>
      <c r="S17" s="34">
        <f t="shared" si="4"/>
        <v>4</v>
      </c>
      <c r="T17" s="34">
        <f t="shared" si="4"/>
        <v>3.33333333333333</v>
      </c>
      <c r="U17" s="34">
        <f t="shared" si="4"/>
        <v>2</v>
      </c>
      <c r="V17" s="34">
        <f t="shared" si="4"/>
        <v>0</v>
      </c>
      <c r="W17" s="34">
        <f t="shared" si="4"/>
        <v>0</v>
      </c>
      <c r="X17" s="34">
        <f t="shared" si="4"/>
        <v>2.66666666666667</v>
      </c>
      <c r="Y17" s="34">
        <f t="shared" si="4"/>
        <v>2.66666666666667</v>
      </c>
      <c r="Z17" s="34">
        <f t="shared" si="4"/>
        <v>2</v>
      </c>
      <c r="AA17" s="34">
        <f t="shared" si="4"/>
        <v>2</v>
      </c>
      <c r="AB17" s="34">
        <f t="shared" si="4"/>
        <v>2</v>
      </c>
      <c r="AC17" s="34">
        <f t="shared" si="4"/>
        <v>1.33333333333333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0.214285714285714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>
        <v>5</v>
      </c>
      <c r="F19" s="64" t="s">
        <v>44</v>
      </c>
      <c r="G19" s="64" t="s">
        <v>44</v>
      </c>
      <c r="H19" s="64">
        <v>7</v>
      </c>
      <c r="I19" s="64">
        <v>6</v>
      </c>
      <c r="J19" s="64">
        <v>6</v>
      </c>
      <c r="K19" s="64">
        <v>4</v>
      </c>
      <c r="L19" s="64">
        <v>4</v>
      </c>
      <c r="M19" s="64" t="s">
        <v>44</v>
      </c>
      <c r="N19" s="64">
        <v>7</v>
      </c>
      <c r="O19" s="64">
        <v>5</v>
      </c>
      <c r="P19" s="64">
        <v>5</v>
      </c>
      <c r="Q19" s="64">
        <v>8</v>
      </c>
      <c r="R19" s="64" t="s">
        <v>44</v>
      </c>
      <c r="S19" s="64">
        <v>6</v>
      </c>
      <c r="T19" s="64">
        <v>5</v>
      </c>
      <c r="U19" s="64">
        <v>3</v>
      </c>
      <c r="V19" s="64" t="s">
        <v>44</v>
      </c>
      <c r="W19" s="64" t="s">
        <v>44</v>
      </c>
      <c r="X19" s="64">
        <v>4</v>
      </c>
      <c r="Y19" s="64">
        <v>4</v>
      </c>
      <c r="Z19" s="64">
        <v>3</v>
      </c>
      <c r="AA19" s="64">
        <v>3</v>
      </c>
      <c r="AB19" s="64">
        <v>3</v>
      </c>
      <c r="AC19" s="64">
        <v>2</v>
      </c>
      <c r="AD19" s="64"/>
      <c r="AE19" s="64"/>
      <c r="AF19" s="64"/>
      <c r="AG19" s="64"/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>
        <v>10</v>
      </c>
      <c r="F20" s="64" t="s">
        <v>44</v>
      </c>
      <c r="G20" s="64" t="s">
        <v>44</v>
      </c>
      <c r="H20" s="64">
        <v>14</v>
      </c>
      <c r="I20" s="64">
        <v>12</v>
      </c>
      <c r="J20" s="64">
        <v>12</v>
      </c>
      <c r="K20" s="64">
        <v>8</v>
      </c>
      <c r="L20" s="64">
        <v>8</v>
      </c>
      <c r="M20" s="64" t="s">
        <v>44</v>
      </c>
      <c r="N20" s="64">
        <v>14</v>
      </c>
      <c r="O20" s="64">
        <v>10</v>
      </c>
      <c r="P20" s="64">
        <v>10</v>
      </c>
      <c r="Q20" s="64">
        <v>16</v>
      </c>
      <c r="R20" s="64" t="s">
        <v>44</v>
      </c>
      <c r="S20" s="64">
        <v>12</v>
      </c>
      <c r="T20" s="64">
        <v>10</v>
      </c>
      <c r="U20" s="64">
        <v>6</v>
      </c>
      <c r="V20" s="64" t="s">
        <v>44</v>
      </c>
      <c r="W20" s="64" t="s">
        <v>44</v>
      </c>
      <c r="X20" s="64">
        <v>8</v>
      </c>
      <c r="Y20" s="64">
        <v>8</v>
      </c>
      <c r="Z20" s="64">
        <v>6</v>
      </c>
      <c r="AA20" s="64">
        <v>6</v>
      </c>
      <c r="AB20" s="64">
        <v>6</v>
      </c>
      <c r="AC20" s="64">
        <v>4</v>
      </c>
      <c r="AD20" s="64"/>
      <c r="AE20" s="64"/>
      <c r="AF20" s="64"/>
      <c r="AG20" s="64"/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>
        <v>10</v>
      </c>
      <c r="F21" s="64" t="s">
        <v>44</v>
      </c>
      <c r="G21" s="64" t="s">
        <v>44</v>
      </c>
      <c r="H21" s="64">
        <v>14</v>
      </c>
      <c r="I21" s="64">
        <v>12</v>
      </c>
      <c r="J21" s="64">
        <v>12</v>
      </c>
      <c r="K21" s="64">
        <v>8</v>
      </c>
      <c r="L21" s="64">
        <v>8</v>
      </c>
      <c r="M21" s="64" t="s">
        <v>44</v>
      </c>
      <c r="N21" s="64">
        <v>14</v>
      </c>
      <c r="O21" s="64">
        <v>10</v>
      </c>
      <c r="P21" s="64">
        <v>10</v>
      </c>
      <c r="Q21" s="64">
        <v>16</v>
      </c>
      <c r="R21" s="64" t="s">
        <v>44</v>
      </c>
      <c r="S21" s="64">
        <v>12</v>
      </c>
      <c r="T21" s="64">
        <v>10</v>
      </c>
      <c r="U21" s="64">
        <v>6</v>
      </c>
      <c r="V21" s="64" t="s">
        <v>44</v>
      </c>
      <c r="W21" s="64" t="s">
        <v>44</v>
      </c>
      <c r="X21" s="64">
        <v>8</v>
      </c>
      <c r="Y21" s="64">
        <v>8</v>
      </c>
      <c r="Z21" s="64">
        <v>6</v>
      </c>
      <c r="AA21" s="64">
        <v>3</v>
      </c>
      <c r="AB21" s="64">
        <v>6</v>
      </c>
      <c r="AC21" s="64">
        <v>4</v>
      </c>
      <c r="AD21" s="64"/>
      <c r="AE21" s="64"/>
      <c r="AF21" s="64"/>
      <c r="AG21" s="64"/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>
        <v>5</v>
      </c>
      <c r="F22" s="64" t="s">
        <v>44</v>
      </c>
      <c r="G22" s="64" t="s">
        <v>44</v>
      </c>
      <c r="H22" s="64">
        <v>7</v>
      </c>
      <c r="I22" s="64">
        <v>6</v>
      </c>
      <c r="J22" s="64">
        <v>6</v>
      </c>
      <c r="K22" s="64">
        <v>4</v>
      </c>
      <c r="L22" s="64">
        <v>4</v>
      </c>
      <c r="M22" s="64" t="s">
        <v>44</v>
      </c>
      <c r="N22" s="64">
        <v>7</v>
      </c>
      <c r="O22" s="64">
        <v>5</v>
      </c>
      <c r="P22" s="64">
        <v>5</v>
      </c>
      <c r="Q22" s="64">
        <v>8</v>
      </c>
      <c r="R22" s="64" t="s">
        <v>44</v>
      </c>
      <c r="S22" s="64">
        <v>6</v>
      </c>
      <c r="T22" s="64">
        <v>5</v>
      </c>
      <c r="U22" s="64">
        <v>3</v>
      </c>
      <c r="V22" s="64" t="s">
        <v>44</v>
      </c>
      <c r="W22" s="64" t="s">
        <v>44</v>
      </c>
      <c r="X22" s="64">
        <v>4</v>
      </c>
      <c r="Y22" s="64">
        <v>4</v>
      </c>
      <c r="Z22" s="64">
        <v>3</v>
      </c>
      <c r="AA22" s="64">
        <v>3</v>
      </c>
      <c r="AB22" s="64">
        <v>3</v>
      </c>
      <c r="AC22" s="64">
        <v>2</v>
      </c>
      <c r="AD22" s="64"/>
      <c r="AE22" s="64"/>
      <c r="AF22" s="64"/>
      <c r="AG22" s="64"/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>
        <v>5</v>
      </c>
      <c r="F23" s="64" t="s">
        <v>44</v>
      </c>
      <c r="G23" s="64" t="s">
        <v>44</v>
      </c>
      <c r="H23" s="64">
        <v>7</v>
      </c>
      <c r="I23" s="64">
        <v>6</v>
      </c>
      <c r="J23" s="64">
        <v>6</v>
      </c>
      <c r="K23" s="64">
        <v>4</v>
      </c>
      <c r="L23" s="64">
        <v>4</v>
      </c>
      <c r="M23" s="64" t="s">
        <v>44</v>
      </c>
      <c r="N23" s="64">
        <v>7</v>
      </c>
      <c r="O23" s="64">
        <v>5</v>
      </c>
      <c r="P23" s="64">
        <v>5</v>
      </c>
      <c r="Q23" s="64">
        <v>8</v>
      </c>
      <c r="R23" s="64" t="s">
        <v>44</v>
      </c>
      <c r="S23" s="64">
        <v>6</v>
      </c>
      <c r="T23" s="64">
        <v>5</v>
      </c>
      <c r="U23" s="64">
        <v>3</v>
      </c>
      <c r="V23" s="64" t="s">
        <v>44</v>
      </c>
      <c r="W23" s="64" t="s">
        <v>44</v>
      </c>
      <c r="X23" s="64">
        <v>4</v>
      </c>
      <c r="Y23" s="64">
        <v>4</v>
      </c>
      <c r="Z23" s="64">
        <v>3</v>
      </c>
      <c r="AA23" s="64">
        <v>3</v>
      </c>
      <c r="AB23" s="64">
        <v>3</v>
      </c>
      <c r="AC23" s="64">
        <v>2</v>
      </c>
      <c r="AD23" s="64"/>
      <c r="AE23" s="64"/>
      <c r="AF23" s="64"/>
      <c r="AG23" s="64"/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>
        <v>0</v>
      </c>
      <c r="F24" s="64" t="s">
        <v>44</v>
      </c>
      <c r="G24" s="64" t="s">
        <v>44</v>
      </c>
      <c r="H24" s="64">
        <v>2</v>
      </c>
      <c r="I24" s="64">
        <v>0</v>
      </c>
      <c r="J24" s="64">
        <v>0</v>
      </c>
      <c r="K24" s="64">
        <v>0</v>
      </c>
      <c r="L24" s="64">
        <v>1</v>
      </c>
      <c r="M24" s="64" t="s">
        <v>44</v>
      </c>
      <c r="N24" s="64">
        <v>0</v>
      </c>
      <c r="O24" s="64">
        <v>0</v>
      </c>
      <c r="P24" s="64">
        <v>0</v>
      </c>
      <c r="Q24" s="64">
        <v>1</v>
      </c>
      <c r="R24" s="64" t="s">
        <v>44</v>
      </c>
      <c r="S24" s="64">
        <v>1</v>
      </c>
      <c r="T24" s="64">
        <v>2</v>
      </c>
      <c r="U24" s="64">
        <v>0</v>
      </c>
      <c r="V24" s="64" t="s">
        <v>44</v>
      </c>
      <c r="W24" s="64" t="s">
        <v>44</v>
      </c>
      <c r="X24" s="64">
        <v>0</v>
      </c>
      <c r="Y24" s="64">
        <v>0</v>
      </c>
      <c r="Z24" s="64">
        <v>0</v>
      </c>
      <c r="AA24" s="64">
        <v>1</v>
      </c>
      <c r="AB24" s="64">
        <v>1</v>
      </c>
      <c r="AC24" s="64">
        <v>1</v>
      </c>
      <c r="AD24" s="64"/>
      <c r="AE24" s="64"/>
      <c r="AF24" s="64"/>
      <c r="AG24" s="64"/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>
        <v>0</v>
      </c>
      <c r="F25" s="64" t="s">
        <v>44</v>
      </c>
      <c r="G25" s="64" t="s">
        <v>44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 t="s">
        <v>44</v>
      </c>
      <c r="N25" s="64">
        <v>0</v>
      </c>
      <c r="O25" s="64">
        <v>0</v>
      </c>
      <c r="P25" s="64">
        <v>0</v>
      </c>
      <c r="Q25" s="64">
        <v>0</v>
      </c>
      <c r="R25" s="64" t="s">
        <v>44</v>
      </c>
      <c r="S25" s="64">
        <v>0</v>
      </c>
      <c r="T25" s="64">
        <v>0</v>
      </c>
      <c r="U25" s="64">
        <v>0</v>
      </c>
      <c r="V25" s="64" t="s">
        <v>44</v>
      </c>
      <c r="W25" s="64" t="s">
        <v>44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/>
      <c r="AE25" s="64"/>
      <c r="AF25" s="64"/>
      <c r="AG25" s="64"/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>
        <v>0</v>
      </c>
      <c r="F26" s="64" t="s">
        <v>44</v>
      </c>
      <c r="G26" s="64" t="s">
        <v>44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 t="s">
        <v>44</v>
      </c>
      <c r="N26" s="64">
        <v>0</v>
      </c>
      <c r="O26" s="64">
        <v>0</v>
      </c>
      <c r="P26" s="64">
        <v>0</v>
      </c>
      <c r="Q26" s="64">
        <v>0</v>
      </c>
      <c r="R26" s="64" t="s">
        <v>44</v>
      </c>
      <c r="S26" s="64">
        <v>0</v>
      </c>
      <c r="T26" s="64">
        <v>0</v>
      </c>
      <c r="U26" s="64">
        <v>0</v>
      </c>
      <c r="V26" s="64" t="s">
        <v>44</v>
      </c>
      <c r="W26" s="64" t="s">
        <v>44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/>
      <c r="AE26" s="64"/>
      <c r="AF26" s="64"/>
      <c r="AG26" s="64"/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4.375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6.375</v>
      </c>
      <c r="I27" s="34">
        <f t="shared" si="7"/>
        <v>5.25</v>
      </c>
      <c r="J27" s="34">
        <f t="shared" si="7"/>
        <v>5.25</v>
      </c>
      <c r="K27" s="34">
        <f t="shared" si="7"/>
        <v>3.5</v>
      </c>
      <c r="L27" s="34">
        <f t="shared" si="7"/>
        <v>3.625</v>
      </c>
      <c r="M27" s="34">
        <f t="shared" si="7"/>
        <v>0</v>
      </c>
      <c r="N27" s="34">
        <f t="shared" si="7"/>
        <v>6.125</v>
      </c>
      <c r="O27" s="34">
        <f t="shared" si="7"/>
        <v>4.375</v>
      </c>
      <c r="P27" s="34">
        <f t="shared" si="7"/>
        <v>4.375</v>
      </c>
      <c r="Q27" s="34">
        <f t="shared" si="7"/>
        <v>7.125</v>
      </c>
      <c r="R27" s="34">
        <f t="shared" si="7"/>
        <v>0</v>
      </c>
      <c r="S27" s="34">
        <f t="shared" si="7"/>
        <v>5.375</v>
      </c>
      <c r="T27" s="34">
        <f t="shared" si="7"/>
        <v>4.625</v>
      </c>
      <c r="U27" s="34">
        <f t="shared" si="7"/>
        <v>2.625</v>
      </c>
      <c r="V27" s="34">
        <f t="shared" si="7"/>
        <v>0</v>
      </c>
      <c r="W27" s="34">
        <f t="shared" si="7"/>
        <v>0</v>
      </c>
      <c r="X27" s="34">
        <f t="shared" si="7"/>
        <v>3.5</v>
      </c>
      <c r="Y27" s="34">
        <f t="shared" si="7"/>
        <v>3.5</v>
      </c>
      <c r="Z27" s="34">
        <f t="shared" si="7"/>
        <v>2.625</v>
      </c>
      <c r="AA27" s="34">
        <f t="shared" si="7"/>
        <v>2.375</v>
      </c>
      <c r="AB27" s="34">
        <f t="shared" si="7"/>
        <v>2.75</v>
      </c>
      <c r="AC27" s="34">
        <f t="shared" si="7"/>
        <v>1.875</v>
      </c>
      <c r="AD27" s="34">
        <f t="shared" si="7"/>
        <v>0</v>
      </c>
      <c r="AE27" s="34">
        <f t="shared" si="7"/>
        <v>0</v>
      </c>
      <c r="AF27" s="34">
        <f t="shared" si="7"/>
        <v>0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85" zoomScaleNormal="85" workbookViewId="0">
      <selection activeCell="E7" sqref="E7:AI7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47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 t="s">
        <v>48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5">
        <f t="shared" si="1"/>
        <v>0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0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v>0</v>
      </c>
      <c r="T13" s="34">
        <f t="shared" si="2"/>
        <v>0</v>
      </c>
      <c r="U13" s="34">
        <f t="shared" si="2"/>
        <v>0</v>
      </c>
      <c r="V13" s="34">
        <f t="shared" si="2"/>
        <v>0</v>
      </c>
      <c r="W13" s="34">
        <f t="shared" si="2"/>
        <v>0</v>
      </c>
      <c r="X13" s="34">
        <f t="shared" si="2"/>
        <v>0</v>
      </c>
      <c r="Y13" s="34">
        <f t="shared" si="2"/>
        <v>0</v>
      </c>
      <c r="Z13" s="34">
        <f t="shared" si="2"/>
        <v>0</v>
      </c>
      <c r="AA13" s="34">
        <f t="shared" si="2"/>
        <v>0</v>
      </c>
      <c r="AB13" s="34">
        <f t="shared" si="2"/>
        <v>0</v>
      </c>
      <c r="AC13" s="34">
        <f t="shared" si="2"/>
        <v>0</v>
      </c>
      <c r="AD13" s="34">
        <f t="shared" si="2"/>
        <v>0</v>
      </c>
      <c r="AE13" s="34">
        <f t="shared" si="2"/>
        <v>0</v>
      </c>
      <c r="AF13" s="34">
        <f t="shared" si="2"/>
        <v>0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5">
        <f>SUM(E15:AI15)/AM15*10/100</f>
        <v>0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>
        <f t="shared" ref="AJ16" si="3">SUM(E16:AI16)/AM16*10/100</f>
        <v>0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0</v>
      </c>
      <c r="F17" s="34">
        <f t="shared" si="4"/>
        <v>0</v>
      </c>
      <c r="G17" s="34">
        <f t="shared" si="4"/>
        <v>0</v>
      </c>
      <c r="H17" s="34">
        <f t="shared" si="4"/>
        <v>0</v>
      </c>
      <c r="I17" s="34">
        <f t="shared" si="4"/>
        <v>0</v>
      </c>
      <c r="J17" s="34">
        <f t="shared" si="4"/>
        <v>0</v>
      </c>
      <c r="K17" s="34">
        <f t="shared" si="4"/>
        <v>0</v>
      </c>
      <c r="L17" s="34">
        <f t="shared" si="4"/>
        <v>0</v>
      </c>
      <c r="M17" s="34">
        <f t="shared" si="4"/>
        <v>0</v>
      </c>
      <c r="N17" s="34">
        <f t="shared" si="4"/>
        <v>0</v>
      </c>
      <c r="O17" s="34">
        <f t="shared" si="4"/>
        <v>0</v>
      </c>
      <c r="P17" s="34">
        <f t="shared" si="4"/>
        <v>0</v>
      </c>
      <c r="Q17" s="34">
        <f t="shared" si="4"/>
        <v>0</v>
      </c>
      <c r="R17" s="34">
        <f t="shared" si="4"/>
        <v>0</v>
      </c>
      <c r="S17" s="34">
        <f t="shared" si="4"/>
        <v>0</v>
      </c>
      <c r="T17" s="34">
        <f t="shared" si="4"/>
        <v>0</v>
      </c>
      <c r="U17" s="34">
        <f t="shared" si="4"/>
        <v>0</v>
      </c>
      <c r="V17" s="34">
        <f t="shared" si="4"/>
        <v>0</v>
      </c>
      <c r="W17" s="34">
        <f t="shared" si="4"/>
        <v>0</v>
      </c>
      <c r="X17" s="34">
        <f t="shared" si="4"/>
        <v>0</v>
      </c>
      <c r="Y17" s="34">
        <f t="shared" si="4"/>
        <v>0</v>
      </c>
      <c r="Z17" s="34">
        <f t="shared" si="4"/>
        <v>0</v>
      </c>
      <c r="AA17" s="34">
        <f t="shared" si="4"/>
        <v>0</v>
      </c>
      <c r="AB17" s="34">
        <f t="shared" si="4"/>
        <v>0</v>
      </c>
      <c r="AC17" s="34">
        <f t="shared" si="4"/>
        <v>0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0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0</v>
      </c>
      <c r="I27" s="34">
        <f t="shared" si="7"/>
        <v>0</v>
      </c>
      <c r="J27" s="34">
        <f t="shared" si="7"/>
        <v>0</v>
      </c>
      <c r="K27" s="34">
        <f t="shared" si="7"/>
        <v>0</v>
      </c>
      <c r="L27" s="34">
        <f t="shared" si="7"/>
        <v>0</v>
      </c>
      <c r="M27" s="34">
        <f t="shared" si="7"/>
        <v>0</v>
      </c>
      <c r="N27" s="34">
        <f t="shared" si="7"/>
        <v>0</v>
      </c>
      <c r="O27" s="34">
        <f t="shared" si="7"/>
        <v>0</v>
      </c>
      <c r="P27" s="34">
        <f t="shared" si="7"/>
        <v>0</v>
      </c>
      <c r="Q27" s="34">
        <f t="shared" si="7"/>
        <v>0</v>
      </c>
      <c r="R27" s="34">
        <f t="shared" si="7"/>
        <v>0</v>
      </c>
      <c r="S27" s="34">
        <f t="shared" si="7"/>
        <v>0</v>
      </c>
      <c r="T27" s="34">
        <f t="shared" si="7"/>
        <v>0</v>
      </c>
      <c r="U27" s="34">
        <f t="shared" si="7"/>
        <v>0</v>
      </c>
      <c r="V27" s="34">
        <f t="shared" si="7"/>
        <v>0</v>
      </c>
      <c r="W27" s="34">
        <f t="shared" si="7"/>
        <v>0</v>
      </c>
      <c r="X27" s="34">
        <f t="shared" si="7"/>
        <v>0</v>
      </c>
      <c r="Y27" s="34">
        <f t="shared" si="7"/>
        <v>0</v>
      </c>
      <c r="Z27" s="34">
        <f t="shared" si="7"/>
        <v>0</v>
      </c>
      <c r="AA27" s="34">
        <f t="shared" si="7"/>
        <v>0</v>
      </c>
      <c r="AB27" s="34">
        <f t="shared" si="7"/>
        <v>0</v>
      </c>
      <c r="AC27" s="34">
        <f t="shared" si="7"/>
        <v>0</v>
      </c>
      <c r="AD27" s="34">
        <f t="shared" si="7"/>
        <v>0</v>
      </c>
      <c r="AE27" s="34">
        <f t="shared" si="7"/>
        <v>0</v>
      </c>
      <c r="AF27" s="34">
        <f t="shared" si="7"/>
        <v>0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85" zoomScaleNormal="85" workbookViewId="0">
      <selection activeCell="E7" sqref="E7:AI7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49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 t="s">
        <v>48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5">
        <f t="shared" si="1"/>
        <v>0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0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v>0</v>
      </c>
      <c r="T13" s="34">
        <f t="shared" si="2"/>
        <v>0</v>
      </c>
      <c r="U13" s="34">
        <f t="shared" si="2"/>
        <v>0</v>
      </c>
      <c r="V13" s="34">
        <f t="shared" si="2"/>
        <v>0</v>
      </c>
      <c r="W13" s="34">
        <f t="shared" si="2"/>
        <v>0</v>
      </c>
      <c r="X13" s="34">
        <f t="shared" si="2"/>
        <v>0</v>
      </c>
      <c r="Y13" s="34">
        <f t="shared" si="2"/>
        <v>0</v>
      </c>
      <c r="Z13" s="34">
        <f t="shared" si="2"/>
        <v>0</v>
      </c>
      <c r="AA13" s="34">
        <f t="shared" si="2"/>
        <v>0</v>
      </c>
      <c r="AB13" s="34">
        <f t="shared" si="2"/>
        <v>0</v>
      </c>
      <c r="AC13" s="34">
        <f t="shared" si="2"/>
        <v>0</v>
      </c>
      <c r="AD13" s="34">
        <f t="shared" si="2"/>
        <v>0</v>
      </c>
      <c r="AE13" s="34">
        <f t="shared" si="2"/>
        <v>0</v>
      </c>
      <c r="AF13" s="34">
        <f t="shared" si="2"/>
        <v>0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5">
        <f>SUM(E15:AI15)/AM15*10/100</f>
        <v>0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>
        <f t="shared" ref="AJ16" si="3">SUM(E16:AI16)/AM16*10/100</f>
        <v>0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0</v>
      </c>
      <c r="F17" s="34">
        <f t="shared" si="4"/>
        <v>0</v>
      </c>
      <c r="G17" s="34">
        <f t="shared" si="4"/>
        <v>0</v>
      </c>
      <c r="H17" s="34">
        <f t="shared" si="4"/>
        <v>0</v>
      </c>
      <c r="I17" s="34">
        <f t="shared" si="4"/>
        <v>0</v>
      </c>
      <c r="J17" s="34">
        <f t="shared" si="4"/>
        <v>0</v>
      </c>
      <c r="K17" s="34">
        <f t="shared" si="4"/>
        <v>0</v>
      </c>
      <c r="L17" s="34">
        <f t="shared" si="4"/>
        <v>0</v>
      </c>
      <c r="M17" s="34">
        <f t="shared" si="4"/>
        <v>0</v>
      </c>
      <c r="N17" s="34">
        <f t="shared" si="4"/>
        <v>0</v>
      </c>
      <c r="O17" s="34">
        <f t="shared" si="4"/>
        <v>0</v>
      </c>
      <c r="P17" s="34">
        <f t="shared" si="4"/>
        <v>0</v>
      </c>
      <c r="Q17" s="34">
        <f t="shared" si="4"/>
        <v>0</v>
      </c>
      <c r="R17" s="34">
        <f t="shared" si="4"/>
        <v>0</v>
      </c>
      <c r="S17" s="34">
        <f t="shared" si="4"/>
        <v>0</v>
      </c>
      <c r="T17" s="34">
        <f t="shared" si="4"/>
        <v>0</v>
      </c>
      <c r="U17" s="34">
        <f t="shared" si="4"/>
        <v>0</v>
      </c>
      <c r="V17" s="34">
        <f t="shared" si="4"/>
        <v>0</v>
      </c>
      <c r="W17" s="34">
        <f t="shared" si="4"/>
        <v>0</v>
      </c>
      <c r="X17" s="34">
        <f t="shared" si="4"/>
        <v>0</v>
      </c>
      <c r="Y17" s="34">
        <f t="shared" si="4"/>
        <v>0</v>
      </c>
      <c r="Z17" s="34">
        <f t="shared" si="4"/>
        <v>0</v>
      </c>
      <c r="AA17" s="34">
        <f t="shared" si="4"/>
        <v>0</v>
      </c>
      <c r="AB17" s="34">
        <f t="shared" si="4"/>
        <v>0</v>
      </c>
      <c r="AC17" s="34">
        <f t="shared" si="4"/>
        <v>0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0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0</v>
      </c>
      <c r="I27" s="34">
        <f t="shared" si="7"/>
        <v>0</v>
      </c>
      <c r="J27" s="34">
        <f t="shared" si="7"/>
        <v>0</v>
      </c>
      <c r="K27" s="34">
        <f t="shared" si="7"/>
        <v>0</v>
      </c>
      <c r="L27" s="34">
        <f t="shared" si="7"/>
        <v>0</v>
      </c>
      <c r="M27" s="34">
        <f t="shared" si="7"/>
        <v>0</v>
      </c>
      <c r="N27" s="34">
        <f t="shared" si="7"/>
        <v>0</v>
      </c>
      <c r="O27" s="34">
        <f t="shared" si="7"/>
        <v>0</v>
      </c>
      <c r="P27" s="34">
        <f t="shared" si="7"/>
        <v>0</v>
      </c>
      <c r="Q27" s="34">
        <f t="shared" si="7"/>
        <v>0</v>
      </c>
      <c r="R27" s="34">
        <f t="shared" si="7"/>
        <v>0</v>
      </c>
      <c r="S27" s="34">
        <f t="shared" si="7"/>
        <v>0</v>
      </c>
      <c r="T27" s="34">
        <f t="shared" si="7"/>
        <v>0</v>
      </c>
      <c r="U27" s="34">
        <f t="shared" si="7"/>
        <v>0</v>
      </c>
      <c r="V27" s="34">
        <f t="shared" si="7"/>
        <v>0</v>
      </c>
      <c r="W27" s="34">
        <f t="shared" si="7"/>
        <v>0</v>
      </c>
      <c r="X27" s="34">
        <f t="shared" si="7"/>
        <v>0</v>
      </c>
      <c r="Y27" s="34">
        <f t="shared" si="7"/>
        <v>0</v>
      </c>
      <c r="Z27" s="34">
        <f t="shared" si="7"/>
        <v>0</v>
      </c>
      <c r="AA27" s="34">
        <f t="shared" si="7"/>
        <v>0</v>
      </c>
      <c r="AB27" s="34">
        <f t="shared" si="7"/>
        <v>0</v>
      </c>
      <c r="AC27" s="34">
        <f t="shared" si="7"/>
        <v>0</v>
      </c>
      <c r="AD27" s="34">
        <f t="shared" si="7"/>
        <v>0</v>
      </c>
      <c r="AE27" s="34">
        <f t="shared" si="7"/>
        <v>0</v>
      </c>
      <c r="AF27" s="34">
        <f t="shared" si="7"/>
        <v>0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85" zoomScaleNormal="85" topLeftCell="A4" workbookViewId="0">
      <selection activeCell="E7" sqref="E7:AI7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7" width="10.7142857142857" style="12" customWidth="1"/>
    <col min="38" max="38" width="24.2857142857143" style="12" customWidth="1"/>
    <col min="39" max="42" width="9.14285714285714" style="12"/>
    <col min="43" max="43" width="9.14285714285714" style="12" customWidth="1"/>
    <col min="44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50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K7" s="92"/>
      <c r="AL7" s="9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94">
        <v>30</v>
      </c>
      <c r="AI8" s="94">
        <v>31</v>
      </c>
      <c r="AJ8" s="58"/>
      <c r="AK8" s="92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95"/>
      <c r="AI9" s="96"/>
      <c r="AJ9" s="79"/>
      <c r="AK9" s="97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5">
        <f>SUM(E10:AI10)/AM10*40/100</f>
        <v>0</v>
      </c>
      <c r="AK10" s="98"/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5">
        <f t="shared" ref="AJ11:AJ12" si="1">SUM(E11:AI11)/AM11*40/100</f>
        <v>0</v>
      </c>
      <c r="AK11" s="98"/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5">
        <f t="shared" si="1"/>
        <v>0</v>
      </c>
      <c r="AK12" s="98"/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0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f t="shared" si="2"/>
        <v>0</v>
      </c>
      <c r="T13" s="34">
        <f t="shared" si="2"/>
        <v>0</v>
      </c>
      <c r="U13" s="34">
        <f t="shared" si="2"/>
        <v>0</v>
      </c>
      <c r="V13" s="34">
        <f t="shared" si="2"/>
        <v>0</v>
      </c>
      <c r="W13" s="34">
        <f t="shared" si="2"/>
        <v>0</v>
      </c>
      <c r="X13" s="34">
        <f t="shared" si="2"/>
        <v>0</v>
      </c>
      <c r="Y13" s="34">
        <f t="shared" si="2"/>
        <v>0</v>
      </c>
      <c r="Z13" s="34">
        <f t="shared" si="2"/>
        <v>0</v>
      </c>
      <c r="AA13" s="34">
        <f t="shared" si="2"/>
        <v>0</v>
      </c>
      <c r="AB13" s="34">
        <f t="shared" si="2"/>
        <v>0</v>
      </c>
      <c r="AC13" s="34">
        <f t="shared" si="2"/>
        <v>0</v>
      </c>
      <c r="AD13" s="34">
        <f t="shared" si="2"/>
        <v>0</v>
      </c>
      <c r="AE13" s="34">
        <f t="shared" si="2"/>
        <v>0</v>
      </c>
      <c r="AF13" s="34">
        <f t="shared" si="2"/>
        <v>0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</v>
      </c>
      <c r="AK13" s="98"/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95"/>
      <c r="AI14" s="96"/>
      <c r="AJ14" s="85"/>
      <c r="AK14" s="99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5">
        <f>SUM(E15:AI15)/AM15*10/100</f>
        <v>0</v>
      </c>
      <c r="AK15" s="98"/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>
        <f t="shared" ref="AJ16" si="3">SUM(E16:AI16)/AM16*10/100</f>
        <v>0</v>
      </c>
      <c r="AK16" s="98"/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0</v>
      </c>
      <c r="F17" s="34">
        <f t="shared" si="4"/>
        <v>0</v>
      </c>
      <c r="G17" s="34">
        <f t="shared" si="4"/>
        <v>0</v>
      </c>
      <c r="H17" s="34">
        <f t="shared" si="4"/>
        <v>0</v>
      </c>
      <c r="I17" s="34">
        <f t="shared" si="4"/>
        <v>0</v>
      </c>
      <c r="J17" s="34">
        <f t="shared" si="4"/>
        <v>0</v>
      </c>
      <c r="K17" s="34">
        <f t="shared" si="4"/>
        <v>0</v>
      </c>
      <c r="L17" s="34">
        <f t="shared" si="4"/>
        <v>0</v>
      </c>
      <c r="M17" s="34">
        <f t="shared" si="4"/>
        <v>0</v>
      </c>
      <c r="N17" s="34">
        <f t="shared" si="4"/>
        <v>0</v>
      </c>
      <c r="O17" s="34">
        <f t="shared" si="4"/>
        <v>0</v>
      </c>
      <c r="P17" s="34">
        <f t="shared" si="4"/>
        <v>0</v>
      </c>
      <c r="Q17" s="34">
        <f t="shared" si="4"/>
        <v>0</v>
      </c>
      <c r="R17" s="34">
        <f t="shared" si="4"/>
        <v>0</v>
      </c>
      <c r="S17" s="34">
        <f t="shared" si="4"/>
        <v>0</v>
      </c>
      <c r="T17" s="34">
        <f t="shared" si="4"/>
        <v>0</v>
      </c>
      <c r="U17" s="34">
        <f t="shared" si="4"/>
        <v>0</v>
      </c>
      <c r="V17" s="34">
        <f t="shared" si="4"/>
        <v>0</v>
      </c>
      <c r="W17" s="34">
        <f t="shared" si="4"/>
        <v>0</v>
      </c>
      <c r="X17" s="34">
        <f t="shared" si="4"/>
        <v>0</v>
      </c>
      <c r="Y17" s="34">
        <f t="shared" si="4"/>
        <v>0</v>
      </c>
      <c r="Z17" s="34">
        <f t="shared" si="4"/>
        <v>0</v>
      </c>
      <c r="AA17" s="34">
        <f t="shared" si="4"/>
        <v>0</v>
      </c>
      <c r="AB17" s="34">
        <f t="shared" si="4"/>
        <v>0</v>
      </c>
      <c r="AC17" s="34">
        <f t="shared" si="4"/>
        <v>0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</v>
      </c>
      <c r="AK17" s="98"/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95"/>
      <c r="AI18" s="96"/>
      <c r="AJ18" s="86"/>
      <c r="AK18" s="100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5" t="e">
        <f>SUM(E19:AI19)/AM19*50/100</f>
        <v>#REF!</v>
      </c>
      <c r="AK19" s="98"/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5" t="e">
        <f t="shared" ref="AJ20:AJ26" si="5">SUM(E20:AI20)/AM20*50/100</f>
        <v>#REF!</v>
      </c>
      <c r="AK20" s="98"/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 t="e">
        <f t="shared" si="5"/>
        <v>#REF!</v>
      </c>
      <c r="AK21" s="98"/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5" t="e">
        <f t="shared" si="5"/>
        <v>#REF!</v>
      </c>
      <c r="AK22" s="98"/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5" t="e">
        <f t="shared" si="5"/>
        <v>#REF!</v>
      </c>
      <c r="AK23" s="98"/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 t="e">
        <f t="shared" si="5"/>
        <v>#REF!</v>
      </c>
      <c r="AK24" s="98"/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5" t="e">
        <f t="shared" si="5"/>
        <v>#REF!</v>
      </c>
      <c r="AK25" s="98"/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 t="e">
        <f t="shared" si="5"/>
        <v>#REF!</v>
      </c>
      <c r="AK26" s="98"/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0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0</v>
      </c>
      <c r="I27" s="34">
        <f t="shared" si="7"/>
        <v>0</v>
      </c>
      <c r="J27" s="34">
        <f t="shared" si="7"/>
        <v>0</v>
      </c>
      <c r="K27" s="34">
        <f t="shared" si="7"/>
        <v>0</v>
      </c>
      <c r="L27" s="34">
        <f t="shared" si="7"/>
        <v>0</v>
      </c>
      <c r="M27" s="34">
        <f t="shared" si="7"/>
        <v>0</v>
      </c>
      <c r="N27" s="34">
        <f t="shared" si="7"/>
        <v>0</v>
      </c>
      <c r="O27" s="34">
        <f t="shared" si="7"/>
        <v>0</v>
      </c>
      <c r="P27" s="34">
        <f t="shared" si="7"/>
        <v>0</v>
      </c>
      <c r="Q27" s="34">
        <f t="shared" si="7"/>
        <v>0</v>
      </c>
      <c r="R27" s="34">
        <f t="shared" si="7"/>
        <v>0</v>
      </c>
      <c r="S27" s="34">
        <f t="shared" si="7"/>
        <v>0</v>
      </c>
      <c r="T27" s="34">
        <f t="shared" si="7"/>
        <v>0</v>
      </c>
      <c r="U27" s="34">
        <f t="shared" si="7"/>
        <v>0</v>
      </c>
      <c r="V27" s="34">
        <f t="shared" si="7"/>
        <v>0</v>
      </c>
      <c r="W27" s="34">
        <f t="shared" si="7"/>
        <v>0</v>
      </c>
      <c r="X27" s="34">
        <f t="shared" si="7"/>
        <v>0</v>
      </c>
      <c r="Y27" s="34">
        <f t="shared" si="7"/>
        <v>0</v>
      </c>
      <c r="Z27" s="34">
        <f t="shared" si="7"/>
        <v>0</v>
      </c>
      <c r="AA27" s="34">
        <f t="shared" si="7"/>
        <v>0</v>
      </c>
      <c r="AB27" s="34">
        <f t="shared" si="7"/>
        <v>0</v>
      </c>
      <c r="AC27" s="34">
        <f t="shared" si="7"/>
        <v>0</v>
      </c>
      <c r="AD27" s="34">
        <f t="shared" si="7"/>
        <v>0</v>
      </c>
      <c r="AE27" s="34">
        <f t="shared" si="7"/>
        <v>0</v>
      </c>
      <c r="AF27" s="34">
        <f t="shared" si="7"/>
        <v>0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K27" s="98"/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K28" s="101"/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85" zoomScaleNormal="85" workbookViewId="0">
      <selection activeCell="E7" sqref="E7:AI7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7" width="10.7142857142857" style="12" customWidth="1"/>
    <col min="38" max="38" width="24.2857142857143" style="12" customWidth="1"/>
    <col min="39" max="42" width="9.14285714285714" style="12"/>
    <col min="43" max="43" width="9.14285714285714" style="12" customWidth="1"/>
    <col min="44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51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K7" s="92"/>
      <c r="AL7" s="9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94">
        <v>30</v>
      </c>
      <c r="AI8" s="94">
        <v>31</v>
      </c>
      <c r="AJ8" s="58"/>
      <c r="AK8" s="92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95"/>
      <c r="AI9" s="96"/>
      <c r="AJ9" s="79"/>
      <c r="AK9" s="97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5">
        <f>SUM(E10:AI10)/AM10*40/100</f>
        <v>0</v>
      </c>
      <c r="AK10" s="98"/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5">
        <f t="shared" ref="AJ11:AJ12" si="1">SUM(E11:AI11)/AM11*40/100</f>
        <v>0</v>
      </c>
      <c r="AK11" s="98"/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5">
        <f t="shared" si="1"/>
        <v>0</v>
      </c>
      <c r="AK12" s="98"/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0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f t="shared" si="2"/>
        <v>0</v>
      </c>
      <c r="T13" s="34">
        <f t="shared" si="2"/>
        <v>0</v>
      </c>
      <c r="U13" s="34">
        <f t="shared" si="2"/>
        <v>0</v>
      </c>
      <c r="V13" s="34">
        <f t="shared" si="2"/>
        <v>0</v>
      </c>
      <c r="W13" s="34">
        <f t="shared" si="2"/>
        <v>0</v>
      </c>
      <c r="X13" s="34">
        <f t="shared" si="2"/>
        <v>0</v>
      </c>
      <c r="Y13" s="34">
        <f t="shared" si="2"/>
        <v>0</v>
      </c>
      <c r="Z13" s="34">
        <f t="shared" si="2"/>
        <v>0</v>
      </c>
      <c r="AA13" s="34">
        <f t="shared" si="2"/>
        <v>0</v>
      </c>
      <c r="AB13" s="34">
        <f t="shared" si="2"/>
        <v>0</v>
      </c>
      <c r="AC13" s="34">
        <f t="shared" si="2"/>
        <v>0</v>
      </c>
      <c r="AD13" s="34">
        <f t="shared" si="2"/>
        <v>0</v>
      </c>
      <c r="AE13" s="34">
        <f t="shared" si="2"/>
        <v>0</v>
      </c>
      <c r="AF13" s="34">
        <f t="shared" si="2"/>
        <v>0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</v>
      </c>
      <c r="AK13" s="98"/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95"/>
      <c r="AI14" s="96"/>
      <c r="AJ14" s="85"/>
      <c r="AK14" s="99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5">
        <f>SUM(E15:AI15)/AM15*10/100</f>
        <v>0</v>
      </c>
      <c r="AK15" s="98"/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>
        <f t="shared" ref="AJ16" si="3">SUM(E16:AI16)/AM16*10/100</f>
        <v>0</v>
      </c>
      <c r="AK16" s="98"/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0</v>
      </c>
      <c r="F17" s="34">
        <f t="shared" si="4"/>
        <v>0</v>
      </c>
      <c r="G17" s="34">
        <f t="shared" si="4"/>
        <v>0</v>
      </c>
      <c r="H17" s="34">
        <f t="shared" si="4"/>
        <v>0</v>
      </c>
      <c r="I17" s="34">
        <f t="shared" si="4"/>
        <v>0</v>
      </c>
      <c r="J17" s="34">
        <f t="shared" si="4"/>
        <v>0</v>
      </c>
      <c r="K17" s="34">
        <f t="shared" si="4"/>
        <v>0</v>
      </c>
      <c r="L17" s="34">
        <f t="shared" si="4"/>
        <v>0</v>
      </c>
      <c r="M17" s="34">
        <f t="shared" si="4"/>
        <v>0</v>
      </c>
      <c r="N17" s="34">
        <f t="shared" si="4"/>
        <v>0</v>
      </c>
      <c r="O17" s="34">
        <f t="shared" si="4"/>
        <v>0</v>
      </c>
      <c r="P17" s="34">
        <f t="shared" si="4"/>
        <v>0</v>
      </c>
      <c r="Q17" s="34">
        <f t="shared" si="4"/>
        <v>0</v>
      </c>
      <c r="R17" s="34">
        <f t="shared" si="4"/>
        <v>0</v>
      </c>
      <c r="S17" s="34">
        <f t="shared" si="4"/>
        <v>0</v>
      </c>
      <c r="T17" s="34">
        <f t="shared" si="4"/>
        <v>0</v>
      </c>
      <c r="U17" s="34">
        <f t="shared" si="4"/>
        <v>0</v>
      </c>
      <c r="V17" s="34">
        <f t="shared" si="4"/>
        <v>0</v>
      </c>
      <c r="W17" s="34">
        <f t="shared" si="4"/>
        <v>0</v>
      </c>
      <c r="X17" s="34">
        <f t="shared" si="4"/>
        <v>0</v>
      </c>
      <c r="Y17" s="34">
        <f t="shared" si="4"/>
        <v>0</v>
      </c>
      <c r="Z17" s="34">
        <f t="shared" si="4"/>
        <v>0</v>
      </c>
      <c r="AA17" s="34">
        <f t="shared" si="4"/>
        <v>0</v>
      </c>
      <c r="AB17" s="34">
        <f t="shared" si="4"/>
        <v>0</v>
      </c>
      <c r="AC17" s="34">
        <f t="shared" si="4"/>
        <v>0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</v>
      </c>
      <c r="AK17" s="98"/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95"/>
      <c r="AI18" s="96"/>
      <c r="AJ18" s="86"/>
      <c r="AK18" s="100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5" t="e">
        <f>SUM(E19:AI19)/AM19*50/100</f>
        <v>#REF!</v>
      </c>
      <c r="AK19" s="98"/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5" t="e">
        <f t="shared" ref="AJ20:AJ26" si="5">SUM(E20:AI20)/AM20*50/100</f>
        <v>#REF!</v>
      </c>
      <c r="AK20" s="98"/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 t="e">
        <f t="shared" si="5"/>
        <v>#REF!</v>
      </c>
      <c r="AK21" s="98"/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5" t="e">
        <f t="shared" si="5"/>
        <v>#REF!</v>
      </c>
      <c r="AK22" s="98"/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5" t="e">
        <f t="shared" si="5"/>
        <v>#REF!</v>
      </c>
      <c r="AK23" s="98"/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 t="e">
        <f t="shared" si="5"/>
        <v>#REF!</v>
      </c>
      <c r="AK24" s="98"/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5" t="e">
        <f t="shared" si="5"/>
        <v>#REF!</v>
      </c>
      <c r="AK25" s="98"/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 t="e">
        <f t="shared" si="5"/>
        <v>#REF!</v>
      </c>
      <c r="AK26" s="98"/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0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0</v>
      </c>
      <c r="I27" s="34">
        <f t="shared" si="7"/>
        <v>0</v>
      </c>
      <c r="J27" s="34">
        <f t="shared" si="7"/>
        <v>0</v>
      </c>
      <c r="K27" s="34">
        <f t="shared" si="7"/>
        <v>0</v>
      </c>
      <c r="L27" s="34">
        <f t="shared" si="7"/>
        <v>0</v>
      </c>
      <c r="M27" s="34">
        <f t="shared" si="7"/>
        <v>0</v>
      </c>
      <c r="N27" s="34">
        <f t="shared" si="7"/>
        <v>0</v>
      </c>
      <c r="O27" s="34">
        <f t="shared" si="7"/>
        <v>0</v>
      </c>
      <c r="P27" s="34">
        <f t="shared" si="7"/>
        <v>0</v>
      </c>
      <c r="Q27" s="34">
        <f t="shared" si="7"/>
        <v>0</v>
      </c>
      <c r="R27" s="34">
        <f t="shared" si="7"/>
        <v>0</v>
      </c>
      <c r="S27" s="34">
        <f t="shared" si="7"/>
        <v>0</v>
      </c>
      <c r="T27" s="34">
        <f t="shared" si="7"/>
        <v>0</v>
      </c>
      <c r="U27" s="34">
        <f t="shared" si="7"/>
        <v>0</v>
      </c>
      <c r="V27" s="34">
        <f t="shared" si="7"/>
        <v>0</v>
      </c>
      <c r="W27" s="34">
        <f t="shared" si="7"/>
        <v>0</v>
      </c>
      <c r="X27" s="34">
        <f t="shared" si="7"/>
        <v>0</v>
      </c>
      <c r="Y27" s="34">
        <f t="shared" si="7"/>
        <v>0</v>
      </c>
      <c r="Z27" s="34">
        <f t="shared" si="7"/>
        <v>0</v>
      </c>
      <c r="AA27" s="34">
        <f t="shared" si="7"/>
        <v>0</v>
      </c>
      <c r="AB27" s="34">
        <f t="shared" si="7"/>
        <v>0</v>
      </c>
      <c r="AC27" s="34">
        <f t="shared" si="7"/>
        <v>0</v>
      </c>
      <c r="AD27" s="34">
        <f t="shared" si="7"/>
        <v>0</v>
      </c>
      <c r="AE27" s="34">
        <f t="shared" si="7"/>
        <v>0</v>
      </c>
      <c r="AF27" s="34">
        <f t="shared" si="7"/>
        <v>0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K27" s="98"/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K28" s="101"/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28"/>
  <sheetViews>
    <sheetView zoomScale="85" zoomScaleNormal="85" topLeftCell="A4" workbookViewId="0">
      <selection activeCell="B15" sqref="B15:C15"/>
    </sheetView>
  </sheetViews>
  <sheetFormatPr defaultColWidth="9.14285714285714" defaultRowHeight="15"/>
  <cols>
    <col min="1" max="1" width="4.85714285714286" style="12" customWidth="1"/>
    <col min="2" max="2" width="9.14285714285714" style="12"/>
    <col min="3" max="3" width="40.8571428571429" style="12" customWidth="1"/>
    <col min="4" max="4" width="10.5714285714286" style="54" customWidth="1"/>
    <col min="5" max="35" width="5.28571428571429" style="12" customWidth="1"/>
    <col min="36" max="36" width="10.7142857142857" style="12" customWidth="1"/>
    <col min="37" max="37" width="9.14285714285714" style="12"/>
    <col min="38" max="38" width="24.2857142857143" style="12" customWidth="1"/>
    <col min="39" max="41" width="9.14285714285714" style="12"/>
    <col min="42" max="42" width="9.14285714285714" style="12" customWidth="1"/>
    <col min="43" max="16384" width="9.14285714285714" style="12"/>
  </cols>
  <sheetData>
    <row r="1" ht="15.75" customHeight="1" spans="1:3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ht="15.75" customHeight="1" spans="1:3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75" spans="1:39">
      <c r="A3" s="14"/>
      <c r="B3" s="14"/>
      <c r="C3" s="14"/>
      <c r="D3" s="14"/>
    </row>
    <row r="4" spans="1:39">
      <c r="A4" s="18" t="s">
        <v>2</v>
      </c>
      <c r="B4" s="18"/>
      <c r="C4" s="18" t="str">
        <f>": "&amp;'3'!B33</f>
        <v>: </v>
      </c>
      <c r="D4" s="70"/>
    </row>
    <row r="5" spans="1:39">
      <c r="A5" s="19" t="s">
        <v>3</v>
      </c>
      <c r="B5" s="19"/>
      <c r="C5" s="12" t="s">
        <v>4</v>
      </c>
    </row>
    <row r="6" ht="15.75" spans="1:39">
      <c r="A6" s="19"/>
      <c r="B6" s="19"/>
    </row>
    <row r="7" ht="21.75" customHeight="1" spans="1:39">
      <c r="A7" s="56" t="s">
        <v>5</v>
      </c>
      <c r="B7" s="56" t="s">
        <v>6</v>
      </c>
      <c r="C7" s="56"/>
      <c r="D7" s="58" t="s">
        <v>7</v>
      </c>
      <c r="E7" s="71" t="s">
        <v>52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2" t="s">
        <v>9</v>
      </c>
      <c r="AL7" s="73" t="s">
        <v>10</v>
      </c>
      <c r="AM7" s="74"/>
    </row>
    <row r="8" ht="21.75" customHeight="1" spans="1:39">
      <c r="A8" s="59"/>
      <c r="B8" s="59"/>
      <c r="C8" s="59"/>
      <c r="D8" s="60"/>
      <c r="E8" s="59">
        <v>1</v>
      </c>
      <c r="F8" s="59">
        <v>2</v>
      </c>
      <c r="G8" s="59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9">
        <v>30</v>
      </c>
      <c r="AI8" s="59">
        <v>31</v>
      </c>
      <c r="AJ8" s="58"/>
      <c r="AL8" s="75" t="s">
        <v>11</v>
      </c>
      <c r="AM8" s="76">
        <v>28</v>
      </c>
    </row>
    <row r="9" s="11" customFormat="1" ht="21" customHeight="1" spans="1:39">
      <c r="A9" s="61" t="s">
        <v>12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8"/>
      <c r="AJ9" s="79"/>
      <c r="AM9" s="80">
        <f>AM8</f>
        <v>28</v>
      </c>
    </row>
    <row r="10" ht="26.25" customHeight="1" spans="1:39">
      <c r="A10" s="27">
        <v>1</v>
      </c>
      <c r="B10" s="28" t="s">
        <v>13</v>
      </c>
      <c r="C10" s="28"/>
      <c r="D10" s="81">
        <v>100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5">
        <f>SUM(E10:AI10)/AM8*40/100</f>
        <v>0</v>
      </c>
      <c r="AM10" s="82">
        <f t="shared" ref="AM10:AM28" si="0">AM9</f>
        <v>28</v>
      </c>
    </row>
    <row r="11" ht="34.5" customHeight="1" spans="1:39">
      <c r="A11" s="31">
        <v>2</v>
      </c>
      <c r="B11" s="83" t="s">
        <v>36</v>
      </c>
      <c r="C11" s="83"/>
      <c r="D11" s="81">
        <v>100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 t="s">
        <v>48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5">
        <f t="shared" ref="AJ11:AJ12" si="1">SUM(E11:AI11)/AM9*40/100</f>
        <v>0</v>
      </c>
      <c r="AM11" s="82">
        <f t="shared" si="0"/>
        <v>28</v>
      </c>
    </row>
    <row r="12" ht="25.5" customHeight="1" spans="1:39">
      <c r="A12" s="31">
        <v>3</v>
      </c>
      <c r="B12" s="32" t="s">
        <v>15</v>
      </c>
      <c r="C12" s="33"/>
      <c r="D12" s="84">
        <v>100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5">
        <f t="shared" si="1"/>
        <v>0</v>
      </c>
      <c r="AM12" s="82">
        <f t="shared" si="0"/>
        <v>28</v>
      </c>
    </row>
    <row r="13" ht="21" customHeight="1" spans="1:39">
      <c r="A13" s="34" t="s">
        <v>16</v>
      </c>
      <c r="B13" s="34"/>
      <c r="C13" s="34"/>
      <c r="D13" s="34"/>
      <c r="E13" s="34">
        <f>SUM(E10:E12)/3</f>
        <v>0</v>
      </c>
      <c r="F13" s="34">
        <f t="shared" ref="F13:AJ13" si="2">SUM(F10:F12)/3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  <c r="P13" s="34">
        <f t="shared" si="2"/>
        <v>0</v>
      </c>
      <c r="Q13" s="34">
        <f t="shared" si="2"/>
        <v>0</v>
      </c>
      <c r="R13" s="34">
        <f t="shared" si="2"/>
        <v>0</v>
      </c>
      <c r="S13" s="34">
        <v>0</v>
      </c>
      <c r="T13" s="34">
        <f t="shared" si="2"/>
        <v>0</v>
      </c>
      <c r="U13" s="34">
        <f t="shared" si="2"/>
        <v>0</v>
      </c>
      <c r="V13" s="34">
        <f t="shared" si="2"/>
        <v>0</v>
      </c>
      <c r="W13" s="34">
        <f t="shared" si="2"/>
        <v>0</v>
      </c>
      <c r="X13" s="34">
        <f t="shared" si="2"/>
        <v>0</v>
      </c>
      <c r="Y13" s="34">
        <f t="shared" si="2"/>
        <v>0</v>
      </c>
      <c r="Z13" s="34">
        <f t="shared" si="2"/>
        <v>0</v>
      </c>
      <c r="AA13" s="34">
        <f t="shared" si="2"/>
        <v>0</v>
      </c>
      <c r="AB13" s="34">
        <f t="shared" si="2"/>
        <v>0</v>
      </c>
      <c r="AC13" s="34">
        <f t="shared" si="2"/>
        <v>0</v>
      </c>
      <c r="AD13" s="34">
        <f t="shared" si="2"/>
        <v>0</v>
      </c>
      <c r="AE13" s="34">
        <f t="shared" si="2"/>
        <v>0</v>
      </c>
      <c r="AF13" s="34">
        <f t="shared" si="2"/>
        <v>0</v>
      </c>
      <c r="AG13" s="34">
        <f t="shared" si="2"/>
        <v>0</v>
      </c>
      <c r="AH13" s="34">
        <f t="shared" si="2"/>
        <v>0</v>
      </c>
      <c r="AI13" s="34">
        <f t="shared" si="2"/>
        <v>0</v>
      </c>
      <c r="AJ13" s="42">
        <f t="shared" si="2"/>
        <v>0</v>
      </c>
      <c r="AM13" s="82">
        <f t="shared" si="0"/>
        <v>28</v>
      </c>
    </row>
    <row r="14" s="11" customFormat="1" ht="23.25" customHeight="1" spans="1:39">
      <c r="A14" s="61" t="s">
        <v>17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8"/>
      <c r="AJ14" s="85"/>
      <c r="AM14" s="82">
        <f t="shared" si="0"/>
        <v>28</v>
      </c>
    </row>
    <row r="15" ht="33" customHeight="1" spans="1:39">
      <c r="A15" s="31">
        <v>1</v>
      </c>
      <c r="B15" s="32" t="s">
        <v>18</v>
      </c>
      <c r="C15" s="33"/>
      <c r="D15" s="84">
        <v>100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5">
        <f>SUM(E15:AI15)/AM15*10/100</f>
        <v>0</v>
      </c>
      <c r="AM15" s="82">
        <f t="shared" si="0"/>
        <v>28</v>
      </c>
    </row>
    <row r="16" ht="33.75" customHeight="1" spans="1:39">
      <c r="A16" s="31">
        <v>2</v>
      </c>
      <c r="B16" s="32" t="s">
        <v>19</v>
      </c>
      <c r="C16" s="33"/>
      <c r="D16" s="84">
        <v>100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>
        <f t="shared" ref="AJ16" si="3">SUM(E16:AI16)/AM16*10/100</f>
        <v>0</v>
      </c>
      <c r="AM16" s="82">
        <f t="shared" si="0"/>
        <v>28</v>
      </c>
    </row>
    <row r="17" ht="24" customHeight="1" spans="1:39">
      <c r="A17" s="39" t="s">
        <v>16</v>
      </c>
      <c r="B17" s="40"/>
      <c r="C17" s="41"/>
      <c r="D17" s="41"/>
      <c r="E17" s="34">
        <f t="shared" ref="E17:AJ17" si="4">SUM(E15:E16)/3</f>
        <v>0</v>
      </c>
      <c r="F17" s="34">
        <f t="shared" si="4"/>
        <v>0</v>
      </c>
      <c r="G17" s="34">
        <f t="shared" si="4"/>
        <v>0</v>
      </c>
      <c r="H17" s="34">
        <f t="shared" si="4"/>
        <v>0</v>
      </c>
      <c r="I17" s="34">
        <f t="shared" si="4"/>
        <v>0</v>
      </c>
      <c r="J17" s="34">
        <f t="shared" si="4"/>
        <v>0</v>
      </c>
      <c r="K17" s="34">
        <f t="shared" si="4"/>
        <v>0</v>
      </c>
      <c r="L17" s="34">
        <f t="shared" si="4"/>
        <v>0</v>
      </c>
      <c r="M17" s="34">
        <f t="shared" si="4"/>
        <v>0</v>
      </c>
      <c r="N17" s="34">
        <f t="shared" si="4"/>
        <v>0</v>
      </c>
      <c r="O17" s="34">
        <f t="shared" si="4"/>
        <v>0</v>
      </c>
      <c r="P17" s="34">
        <f t="shared" si="4"/>
        <v>0</v>
      </c>
      <c r="Q17" s="34">
        <f t="shared" si="4"/>
        <v>0</v>
      </c>
      <c r="R17" s="34">
        <f t="shared" si="4"/>
        <v>0</v>
      </c>
      <c r="S17" s="34">
        <f t="shared" si="4"/>
        <v>0</v>
      </c>
      <c r="T17" s="34">
        <f t="shared" si="4"/>
        <v>0</v>
      </c>
      <c r="U17" s="34">
        <f t="shared" si="4"/>
        <v>0</v>
      </c>
      <c r="V17" s="34">
        <f t="shared" si="4"/>
        <v>0</v>
      </c>
      <c r="W17" s="34">
        <f t="shared" si="4"/>
        <v>0</v>
      </c>
      <c r="X17" s="34">
        <f t="shared" si="4"/>
        <v>0</v>
      </c>
      <c r="Y17" s="34">
        <f t="shared" si="4"/>
        <v>0</v>
      </c>
      <c r="Z17" s="34">
        <f t="shared" si="4"/>
        <v>0</v>
      </c>
      <c r="AA17" s="34">
        <f t="shared" si="4"/>
        <v>0</v>
      </c>
      <c r="AB17" s="34">
        <f t="shared" si="4"/>
        <v>0</v>
      </c>
      <c r="AC17" s="34">
        <f t="shared" si="4"/>
        <v>0</v>
      </c>
      <c r="AD17" s="34">
        <f t="shared" si="4"/>
        <v>0</v>
      </c>
      <c r="AE17" s="34">
        <f t="shared" si="4"/>
        <v>0</v>
      </c>
      <c r="AF17" s="34">
        <f t="shared" si="4"/>
        <v>0</v>
      </c>
      <c r="AG17" s="34">
        <f t="shared" si="4"/>
        <v>0</v>
      </c>
      <c r="AH17" s="34">
        <f t="shared" si="4"/>
        <v>0</v>
      </c>
      <c r="AI17" s="34">
        <f t="shared" si="4"/>
        <v>0</v>
      </c>
      <c r="AJ17" s="42">
        <f t="shared" si="4"/>
        <v>0</v>
      </c>
      <c r="AM17" s="82" t="e">
        <f>#REF!</f>
        <v>#REF!</v>
      </c>
    </row>
    <row r="18" ht="21.75" customHeight="1" spans="1:39">
      <c r="A18" s="61" t="s">
        <v>20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8"/>
      <c r="AJ18" s="86"/>
      <c r="AM18" s="82" t="e">
        <f t="shared" si="0"/>
        <v>#REF!</v>
      </c>
    </row>
    <row r="19" ht="21.75" customHeight="1" spans="1:39">
      <c r="A19" s="31">
        <v>1</v>
      </c>
      <c r="B19" s="43" t="s">
        <v>26</v>
      </c>
      <c r="C19" s="44"/>
      <c r="D19" s="84">
        <v>100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5" t="e">
        <f>SUM(E19:AI19)/AM19*50/100</f>
        <v>#REF!</v>
      </c>
      <c r="AM19" s="82" t="e">
        <f t="shared" si="0"/>
        <v>#REF!</v>
      </c>
    </row>
    <row r="20" ht="21.75" customHeight="1" spans="1:39">
      <c r="A20" s="31">
        <f>A19+1</f>
        <v>2</v>
      </c>
      <c r="B20" s="45" t="s">
        <v>27</v>
      </c>
      <c r="C20" s="45"/>
      <c r="D20" s="84">
        <v>100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5" t="e">
        <f t="shared" ref="AJ20:AJ26" si="5">SUM(E20:AI20)/AM20*50/100</f>
        <v>#REF!</v>
      </c>
      <c r="AM20" s="82" t="e">
        <f t="shared" si="0"/>
        <v>#REF!</v>
      </c>
    </row>
    <row r="21" ht="21.75" customHeight="1" spans="1:39">
      <c r="A21" s="31">
        <f>A20+1</f>
        <v>3</v>
      </c>
      <c r="B21" s="46" t="s">
        <v>28</v>
      </c>
      <c r="C21" s="46"/>
      <c r="D21" s="84">
        <v>100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 t="e">
        <f t="shared" si="5"/>
        <v>#REF!</v>
      </c>
      <c r="AM21" s="82" t="e">
        <f t="shared" si="0"/>
        <v>#REF!</v>
      </c>
    </row>
    <row r="22" ht="21.75" customHeight="1" spans="1:39">
      <c r="A22" s="31">
        <f>A21+1</f>
        <v>4</v>
      </c>
      <c r="B22" s="46" t="s">
        <v>29</v>
      </c>
      <c r="C22" s="46"/>
      <c r="D22" s="84">
        <v>100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5" t="e">
        <f t="shared" si="5"/>
        <v>#REF!</v>
      </c>
      <c r="AM22" s="82" t="e">
        <f t="shared" si="0"/>
        <v>#REF!</v>
      </c>
    </row>
    <row r="23" ht="34.5" customHeight="1" spans="1:39">
      <c r="A23" s="31">
        <f t="shared" ref="A23:A25" si="6">A22+1</f>
        <v>5</v>
      </c>
      <c r="B23" s="47" t="s">
        <v>30</v>
      </c>
      <c r="C23" s="48"/>
      <c r="D23" s="84">
        <v>100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5" t="e">
        <f t="shared" si="5"/>
        <v>#REF!</v>
      </c>
      <c r="AM23" s="82" t="e">
        <f t="shared" si="0"/>
        <v>#REF!</v>
      </c>
    </row>
    <row r="24" ht="34.5" customHeight="1" spans="1:39">
      <c r="A24" s="31">
        <f t="shared" si="6"/>
        <v>6</v>
      </c>
      <c r="B24" s="47" t="s">
        <v>31</v>
      </c>
      <c r="C24" s="48"/>
      <c r="D24" s="84">
        <v>100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 t="e">
        <f t="shared" si="5"/>
        <v>#REF!</v>
      </c>
      <c r="AM24" s="82" t="e">
        <f t="shared" si="0"/>
        <v>#REF!</v>
      </c>
    </row>
    <row r="25" ht="34.5" customHeight="1" spans="1:39">
      <c r="A25" s="31">
        <f t="shared" si="6"/>
        <v>7</v>
      </c>
      <c r="B25" s="47" t="s">
        <v>32</v>
      </c>
      <c r="C25" s="48"/>
      <c r="D25" s="84">
        <v>100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5" t="e">
        <f t="shared" si="5"/>
        <v>#REF!</v>
      </c>
      <c r="AM25" s="82" t="e">
        <f t="shared" si="0"/>
        <v>#REF!</v>
      </c>
    </row>
    <row r="26" ht="34.5" customHeight="1" spans="1:39">
      <c r="A26" s="31">
        <v>8</v>
      </c>
      <c r="B26" s="47" t="s">
        <v>33</v>
      </c>
      <c r="C26" s="48"/>
      <c r="D26" s="84">
        <v>100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 t="e">
        <f t="shared" si="5"/>
        <v>#REF!</v>
      </c>
      <c r="AM26" s="82" t="e">
        <f t="shared" si="0"/>
        <v>#REF!</v>
      </c>
    </row>
    <row r="27" ht="22.5" customHeight="1" spans="1:39">
      <c r="A27" s="87" t="s">
        <v>16</v>
      </c>
      <c r="B27" s="87"/>
      <c r="C27" s="87"/>
      <c r="D27" s="88"/>
      <c r="E27" s="34">
        <f>SUM(E19:E26)/8</f>
        <v>0</v>
      </c>
      <c r="F27" s="34">
        <f t="shared" ref="F27:AJ27" si="7">SUM(F19:F26)/8</f>
        <v>0</v>
      </c>
      <c r="G27" s="34">
        <f t="shared" si="7"/>
        <v>0</v>
      </c>
      <c r="H27" s="34">
        <f t="shared" si="7"/>
        <v>0</v>
      </c>
      <c r="I27" s="34">
        <f t="shared" si="7"/>
        <v>0</v>
      </c>
      <c r="J27" s="34">
        <f t="shared" si="7"/>
        <v>0</v>
      </c>
      <c r="K27" s="34">
        <f t="shared" si="7"/>
        <v>0</v>
      </c>
      <c r="L27" s="34">
        <f t="shared" si="7"/>
        <v>0</v>
      </c>
      <c r="M27" s="34">
        <f t="shared" si="7"/>
        <v>0</v>
      </c>
      <c r="N27" s="34">
        <f t="shared" si="7"/>
        <v>0</v>
      </c>
      <c r="O27" s="34">
        <f t="shared" si="7"/>
        <v>0</v>
      </c>
      <c r="P27" s="34">
        <f t="shared" si="7"/>
        <v>0</v>
      </c>
      <c r="Q27" s="34">
        <f t="shared" si="7"/>
        <v>0</v>
      </c>
      <c r="R27" s="34">
        <f t="shared" si="7"/>
        <v>0</v>
      </c>
      <c r="S27" s="34">
        <f t="shared" si="7"/>
        <v>0</v>
      </c>
      <c r="T27" s="34">
        <f t="shared" si="7"/>
        <v>0</v>
      </c>
      <c r="U27" s="34">
        <f t="shared" si="7"/>
        <v>0</v>
      </c>
      <c r="V27" s="34">
        <f t="shared" si="7"/>
        <v>0</v>
      </c>
      <c r="W27" s="34">
        <f t="shared" si="7"/>
        <v>0</v>
      </c>
      <c r="X27" s="34">
        <f t="shared" si="7"/>
        <v>0</v>
      </c>
      <c r="Y27" s="34">
        <f t="shared" si="7"/>
        <v>0</v>
      </c>
      <c r="Z27" s="34">
        <f t="shared" si="7"/>
        <v>0</v>
      </c>
      <c r="AA27" s="34">
        <f t="shared" si="7"/>
        <v>0</v>
      </c>
      <c r="AB27" s="34">
        <f t="shared" si="7"/>
        <v>0</v>
      </c>
      <c r="AC27" s="34">
        <f t="shared" si="7"/>
        <v>0</v>
      </c>
      <c r="AD27" s="34">
        <f t="shared" si="7"/>
        <v>0</v>
      </c>
      <c r="AE27" s="34">
        <f t="shared" si="7"/>
        <v>0</v>
      </c>
      <c r="AF27" s="34">
        <f t="shared" si="7"/>
        <v>0</v>
      </c>
      <c r="AG27" s="34">
        <f t="shared" si="7"/>
        <v>0</v>
      </c>
      <c r="AH27" s="34">
        <f t="shared" si="7"/>
        <v>0</v>
      </c>
      <c r="AI27" s="34">
        <f t="shared" si="7"/>
        <v>0</v>
      </c>
      <c r="AJ27" s="42" t="e">
        <f t="shared" si="7"/>
        <v>#REF!</v>
      </c>
      <c r="AM27" s="82" t="e">
        <f t="shared" si="0"/>
        <v>#REF!</v>
      </c>
    </row>
    <row r="28" ht="22.5" customHeight="1" spans="1:39">
      <c r="A28" s="89" t="s">
        <v>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90" t="e">
        <f>AJ13+AJ17+AJ27</f>
        <v>#REF!</v>
      </c>
      <c r="AM28" s="91" t="e">
        <f t="shared" si="0"/>
        <v>#REF!</v>
      </c>
    </row>
  </sheetData>
  <mergeCells count="25">
    <mergeCell ref="A1:AJ1"/>
    <mergeCell ref="A2:AJ2"/>
    <mergeCell ref="A5:B5"/>
    <mergeCell ref="E7:AI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AI28"/>
    <mergeCell ref="A7:A8"/>
    <mergeCell ref="D7:D8"/>
    <mergeCell ref="AJ7:AJ8"/>
    <mergeCell ref="B7:C8"/>
  </mergeCells>
  <pageMargins left="0.54" right="0.35" top="0.52" bottom="0.54" header="0.31496062992126" footer="0.31496062992126"/>
  <pageSetup paperSize="301" scale="78" fitToHeight="0" orientation="landscape" verticalDpi="72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P29"/>
  <sheetViews>
    <sheetView zoomScale="85" zoomScaleNormal="85" topLeftCell="A4" workbookViewId="0">
      <selection activeCell="B15" sqref="B15:C15"/>
    </sheetView>
  </sheetViews>
  <sheetFormatPr defaultColWidth="9.14285714285714" defaultRowHeight="15"/>
  <cols>
    <col min="1" max="1" width="4.85714285714286" style="12" customWidth="1"/>
    <col min="2" max="2" width="65.8571428571429" style="12" customWidth="1"/>
    <col min="3" max="3" width="2.42857142857143" style="12" customWidth="1"/>
    <col min="4" max="15" width="16.1428571428571" style="12" customWidth="1"/>
    <col min="16" max="16" width="16.2857142857143" style="12" customWidth="1"/>
    <col min="17" max="21" width="9.14285714285714" style="12"/>
    <col min="22" max="22" width="9.14285714285714" style="12" customWidth="1"/>
    <col min="23" max="16384" width="9.14285714285714" style="12"/>
  </cols>
  <sheetData>
    <row r="1" ht="15.75" customHeight="1" spans="1:16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ht="15.75" customHeight="1" spans="1:16">
      <c r="A2" s="14" t="s">
        <v>53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ht="15.75" spans="1:16">
      <c r="A3" s="14"/>
      <c r="B3" s="14"/>
      <c r="C3" s="14"/>
    </row>
    <row r="4" spans="1:16">
      <c r="A4" s="18" t="s">
        <v>2</v>
      </c>
      <c r="B4" s="18"/>
      <c r="C4" s="18" t="str">
        <f>": "&amp;'3'!B33</f>
        <v>: </v>
      </c>
    </row>
    <row r="5" spans="1:16">
      <c r="A5" s="19" t="s">
        <v>3</v>
      </c>
      <c r="B5" s="19"/>
      <c r="C5" s="12" t="s">
        <v>4</v>
      </c>
    </row>
    <row r="6" spans="1:16">
      <c r="A6" s="19"/>
      <c r="B6" s="19"/>
    </row>
    <row r="7" ht="21.75" customHeight="1" spans="1:16">
      <c r="A7" s="56" t="s">
        <v>5</v>
      </c>
      <c r="B7" s="56" t="s">
        <v>6</v>
      </c>
      <c r="C7" s="56"/>
      <c r="D7" s="57" t="s">
        <v>54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8" t="s">
        <v>55</v>
      </c>
    </row>
    <row r="8" ht="21.75" customHeight="1" spans="1:16">
      <c r="A8" s="59"/>
      <c r="B8" s="59"/>
      <c r="C8" s="59"/>
      <c r="D8" s="59" t="s">
        <v>56</v>
      </c>
      <c r="E8" s="59" t="s">
        <v>57</v>
      </c>
      <c r="F8" s="59" t="s">
        <v>58</v>
      </c>
      <c r="G8" s="59" t="s">
        <v>59</v>
      </c>
      <c r="H8" s="59" t="s">
        <v>60</v>
      </c>
      <c r="I8" s="59" t="s">
        <v>61</v>
      </c>
      <c r="J8" s="59" t="s">
        <v>62</v>
      </c>
      <c r="K8" s="59" t="s">
        <v>63</v>
      </c>
      <c r="L8" s="59" t="s">
        <v>64</v>
      </c>
      <c r="M8" s="59" t="s">
        <v>65</v>
      </c>
      <c r="N8" s="59" t="s">
        <v>66</v>
      </c>
      <c r="O8" s="59" t="s">
        <v>67</v>
      </c>
      <c r="P8" s="60"/>
    </row>
    <row r="9" s="11" customFormat="1" ht="15.75" spans="1:16">
      <c r="A9" s="61" t="s">
        <v>12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</row>
    <row r="10" ht="23.25" customHeight="1" spans="1:16">
      <c r="A10" s="27">
        <v>1</v>
      </c>
      <c r="B10" s="28" t="s">
        <v>13</v>
      </c>
      <c r="C10" s="28"/>
      <c r="D10" s="64">
        <f>DES!AJ10</f>
        <v>0</v>
      </c>
      <c r="E10" s="64">
        <f>FEB!AJ10</f>
        <v>0</v>
      </c>
      <c r="F10" s="64" t="e">
        <f>#REF!</f>
        <v>#REF!</v>
      </c>
      <c r="G10" s="64" t="e">
        <f>#REF!</f>
        <v>#REF!</v>
      </c>
      <c r="H10" s="64" t="e">
        <f>#REF!</f>
        <v>#REF!</v>
      </c>
      <c r="I10" s="64" t="e">
        <f>#REF!</f>
        <v>#REF!</v>
      </c>
      <c r="J10" s="64" t="e">
        <f>#REF!</f>
        <v>#REF!</v>
      </c>
      <c r="K10" s="64" t="e">
        <f>#REF!</f>
        <v>#REF!</v>
      </c>
      <c r="L10" s="64" t="e">
        <f>#REF!</f>
        <v>#REF!</v>
      </c>
      <c r="M10" s="64" t="e">
        <f>#REF!</f>
        <v>#REF!</v>
      </c>
      <c r="N10" s="64" t="e">
        <f>#REF!</f>
        <v>#REF!</v>
      </c>
      <c r="O10" s="64" t="e">
        <f>#REF!</f>
        <v>#REF!</v>
      </c>
      <c r="P10" s="65" t="e">
        <f>SUM(D10:O10)/12</f>
        <v>#REF!</v>
      </c>
    </row>
    <row r="11" ht="39.75" customHeight="1" spans="1:16">
      <c r="A11" s="31">
        <v>2</v>
      </c>
      <c r="B11" s="32" t="s">
        <v>36</v>
      </c>
      <c r="C11" s="33"/>
      <c r="D11" s="64">
        <f>DES!AJ11</f>
        <v>0</v>
      </c>
      <c r="E11" s="64">
        <f>FEB!AJ11</f>
        <v>0</v>
      </c>
      <c r="F11" s="64" t="e">
        <f>#REF!</f>
        <v>#REF!</v>
      </c>
      <c r="G11" s="64" t="e">
        <f>#REF!</f>
        <v>#REF!</v>
      </c>
      <c r="H11" s="64" t="e">
        <f>#REF!</f>
        <v>#REF!</v>
      </c>
      <c r="I11" s="64" t="e">
        <f>#REF!</f>
        <v>#REF!</v>
      </c>
      <c r="J11" s="64" t="e">
        <f>#REF!</f>
        <v>#REF!</v>
      </c>
      <c r="K11" s="64" t="e">
        <f>#REF!</f>
        <v>#REF!</v>
      </c>
      <c r="L11" s="64" t="e">
        <f>#REF!</f>
        <v>#REF!</v>
      </c>
      <c r="M11" s="64" t="e">
        <f>#REF!</f>
        <v>#REF!</v>
      </c>
      <c r="N11" s="64" t="e">
        <f>#REF!</f>
        <v>#REF!</v>
      </c>
      <c r="O11" s="64" t="e">
        <f>#REF!</f>
        <v>#REF!</v>
      </c>
      <c r="P11" s="65" t="e">
        <f t="shared" ref="P11:P13" si="0">SUM(D11:O11)/12</f>
        <v>#REF!</v>
      </c>
    </row>
    <row r="12" ht="23.25" customHeight="1" spans="1:16">
      <c r="A12" s="31">
        <v>3</v>
      </c>
      <c r="B12" s="32" t="s">
        <v>15</v>
      </c>
      <c r="C12" s="33"/>
      <c r="D12" s="64">
        <f>DES!AJ12</f>
        <v>0</v>
      </c>
      <c r="E12" s="64">
        <f>FEB!AJ12</f>
        <v>1.28571428571429</v>
      </c>
      <c r="F12" s="64" t="e">
        <f>#REF!</f>
        <v>#REF!</v>
      </c>
      <c r="G12" s="64" t="e">
        <f>#REF!</f>
        <v>#REF!</v>
      </c>
      <c r="H12" s="64" t="e">
        <f>#REF!</f>
        <v>#REF!</v>
      </c>
      <c r="I12" s="64" t="e">
        <f>#REF!</f>
        <v>#REF!</v>
      </c>
      <c r="J12" s="64" t="e">
        <f>#REF!</f>
        <v>#REF!</v>
      </c>
      <c r="K12" s="64" t="e">
        <f>#REF!</f>
        <v>#REF!</v>
      </c>
      <c r="L12" s="64" t="e">
        <f>#REF!</f>
        <v>#REF!</v>
      </c>
      <c r="M12" s="64" t="e">
        <f>#REF!</f>
        <v>#REF!</v>
      </c>
      <c r="N12" s="64" t="e">
        <f>#REF!</f>
        <v>#REF!</v>
      </c>
      <c r="O12" s="64" t="e">
        <f>#REF!</f>
        <v>#REF!</v>
      </c>
      <c r="P12" s="65" t="e">
        <f t="shared" si="0"/>
        <v>#REF!</v>
      </c>
    </row>
    <row r="13" ht="29.25" customHeight="1" spans="1:16">
      <c r="A13" s="34" t="s">
        <v>16</v>
      </c>
      <c r="B13" s="34"/>
      <c r="C13" s="34"/>
      <c r="D13" s="66">
        <f>DES!AJ13</f>
        <v>0</v>
      </c>
      <c r="E13" s="66">
        <f>FEB!AJ13</f>
        <v>0.428571428571429</v>
      </c>
      <c r="F13" s="66" t="e">
        <f>#REF!</f>
        <v>#REF!</v>
      </c>
      <c r="G13" s="66" t="e">
        <f>#REF!</f>
        <v>#REF!</v>
      </c>
      <c r="H13" s="66" t="e">
        <f>#REF!</f>
        <v>#REF!</v>
      </c>
      <c r="I13" s="66" t="e">
        <f>#REF!</f>
        <v>#REF!</v>
      </c>
      <c r="J13" s="66" t="e">
        <f>#REF!</f>
        <v>#REF!</v>
      </c>
      <c r="K13" s="66" t="e">
        <f>#REF!</f>
        <v>#REF!</v>
      </c>
      <c r="L13" s="66" t="e">
        <f>#REF!</f>
        <v>#REF!</v>
      </c>
      <c r="M13" s="66" t="e">
        <f>#REF!</f>
        <v>#REF!</v>
      </c>
      <c r="N13" s="66" t="e">
        <f>#REF!</f>
        <v>#REF!</v>
      </c>
      <c r="O13" s="66" t="e">
        <f>#REF!</f>
        <v>#REF!</v>
      </c>
      <c r="P13" s="67" t="e">
        <f t="shared" si="0"/>
        <v>#REF!</v>
      </c>
    </row>
    <row r="14" s="11" customFormat="1" ht="15.75" spans="1:16">
      <c r="A14" s="61" t="s">
        <v>17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8"/>
    </row>
    <row r="15" ht="38.25" customHeight="1" spans="1:16">
      <c r="A15" s="31">
        <v>1</v>
      </c>
      <c r="B15" s="32" t="s">
        <v>18</v>
      </c>
      <c r="C15" s="33"/>
      <c r="D15" s="64">
        <f>DES!AJ15</f>
        <v>0</v>
      </c>
      <c r="E15" s="64">
        <f>FEB!AJ15</f>
        <v>0.321428571428571</v>
      </c>
      <c r="F15" s="64" t="e">
        <f>#REF!</f>
        <v>#REF!</v>
      </c>
      <c r="G15" s="64" t="e">
        <f>#REF!</f>
        <v>#REF!</v>
      </c>
      <c r="H15" s="64" t="e">
        <f>#REF!</f>
        <v>#REF!</v>
      </c>
      <c r="I15" s="64" t="e">
        <f>#REF!</f>
        <v>#REF!</v>
      </c>
      <c r="J15" s="64" t="e">
        <f>#REF!</f>
        <v>#REF!</v>
      </c>
      <c r="K15" s="64" t="e">
        <f>#REF!</f>
        <v>#REF!</v>
      </c>
      <c r="L15" s="64" t="e">
        <f>#REF!</f>
        <v>#REF!</v>
      </c>
      <c r="M15" s="64" t="e">
        <f>#REF!</f>
        <v>#REF!</v>
      </c>
      <c r="N15" s="64" t="e">
        <f>#REF!</f>
        <v>#REF!</v>
      </c>
      <c r="O15" s="64" t="e">
        <f>#REF!</f>
        <v>#REF!</v>
      </c>
      <c r="P15" s="49" t="e">
        <f>SUM(D15:O15)/12</f>
        <v>#REF!</v>
      </c>
    </row>
    <row r="16" ht="22.5" customHeight="1" spans="1:16">
      <c r="A16" s="31">
        <v>2</v>
      </c>
      <c r="B16" s="32" t="s">
        <v>19</v>
      </c>
      <c r="C16" s="33"/>
      <c r="D16" s="64">
        <f>DES!AJ16</f>
        <v>0</v>
      </c>
      <c r="E16" s="64">
        <f>FEB!AJ16</f>
        <v>0.321428571428571</v>
      </c>
      <c r="F16" s="64" t="e">
        <f>#REF!</f>
        <v>#REF!</v>
      </c>
      <c r="G16" s="64" t="e">
        <f>#REF!</f>
        <v>#REF!</v>
      </c>
      <c r="H16" s="64" t="e">
        <f>#REF!</f>
        <v>#REF!</v>
      </c>
      <c r="I16" s="64" t="e">
        <f>#REF!</f>
        <v>#REF!</v>
      </c>
      <c r="J16" s="64" t="e">
        <f>#REF!</f>
        <v>#REF!</v>
      </c>
      <c r="K16" s="64" t="e">
        <f>#REF!</f>
        <v>#REF!</v>
      </c>
      <c r="L16" s="64" t="e">
        <f>#REF!</f>
        <v>#REF!</v>
      </c>
      <c r="M16" s="64" t="e">
        <f>#REF!</f>
        <v>#REF!</v>
      </c>
      <c r="N16" s="64" t="e">
        <f>#REF!</f>
        <v>#REF!</v>
      </c>
      <c r="O16" s="64" t="e">
        <f>#REF!</f>
        <v>#REF!</v>
      </c>
      <c r="P16" s="49" t="e">
        <f t="shared" ref="P16:P17" si="1">SUM(D16:O16)/12</f>
        <v>#REF!</v>
      </c>
    </row>
    <row r="17" ht="28.5" customHeight="1" spans="1:16">
      <c r="A17" s="39" t="s">
        <v>16</v>
      </c>
      <c r="B17" s="40"/>
      <c r="C17" s="41"/>
      <c r="D17" s="66">
        <f>DES!AJ17</f>
        <v>0</v>
      </c>
      <c r="E17" s="66">
        <f>FEB!AJ17</f>
        <v>0.214285714285714</v>
      </c>
      <c r="F17" s="66" t="e">
        <f>#REF!</f>
        <v>#REF!</v>
      </c>
      <c r="G17" s="66" t="e">
        <f>#REF!</f>
        <v>#REF!</v>
      </c>
      <c r="H17" s="66" t="e">
        <f>#REF!</f>
        <v>#REF!</v>
      </c>
      <c r="I17" s="66" t="e">
        <f>#REF!</f>
        <v>#REF!</v>
      </c>
      <c r="J17" s="66" t="e">
        <f>#REF!</f>
        <v>#REF!</v>
      </c>
      <c r="K17" s="66" t="e">
        <f>#REF!</f>
        <v>#REF!</v>
      </c>
      <c r="L17" s="66" t="e">
        <f>#REF!</f>
        <v>#REF!</v>
      </c>
      <c r="M17" s="66" t="e">
        <f>#REF!</f>
        <v>#REF!</v>
      </c>
      <c r="N17" s="66" t="e">
        <f>#REF!</f>
        <v>#REF!</v>
      </c>
      <c r="O17" s="66" t="e">
        <f>#REF!</f>
        <v>#REF!</v>
      </c>
      <c r="P17" s="42" t="e">
        <f t="shared" si="1"/>
        <v>#REF!</v>
      </c>
    </row>
    <row r="18" ht="15.75" spans="1:16">
      <c r="A18" s="61" t="s">
        <v>20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9"/>
    </row>
    <row r="19" ht="21.75" customHeight="1" spans="1:16">
      <c r="A19" s="31">
        <v>1</v>
      </c>
      <c r="B19" s="43" t="s">
        <v>26</v>
      </c>
      <c r="C19" s="44"/>
      <c r="D19" s="64" t="e">
        <f>DES!AJ19</f>
        <v>#REF!</v>
      </c>
      <c r="E19" s="64" t="e">
        <f>FEB!AJ19</f>
        <v>#REF!</v>
      </c>
      <c r="F19" s="64" t="e">
        <f>#REF!</f>
        <v>#REF!</v>
      </c>
      <c r="G19" s="64" t="e">
        <f>#REF!</f>
        <v>#REF!</v>
      </c>
      <c r="H19" s="64" t="e">
        <f>#REF!</f>
        <v>#REF!</v>
      </c>
      <c r="I19" s="64" t="e">
        <f>#REF!</f>
        <v>#REF!</v>
      </c>
      <c r="J19" s="64" t="e">
        <f>#REF!</f>
        <v>#REF!</v>
      </c>
      <c r="K19" s="64" t="e">
        <f>#REF!</f>
        <v>#REF!</v>
      </c>
      <c r="L19" s="64" t="e">
        <f>#REF!</f>
        <v>#REF!</v>
      </c>
      <c r="M19" s="64" t="e">
        <f>#REF!</f>
        <v>#REF!</v>
      </c>
      <c r="N19" s="64" t="e">
        <f>#REF!</f>
        <v>#REF!</v>
      </c>
      <c r="O19" s="64" t="e">
        <f>#REF!</f>
        <v>#REF!</v>
      </c>
      <c r="P19" s="49" t="e">
        <f>SUM(D19:O19)/12</f>
        <v>#REF!</v>
      </c>
    </row>
    <row r="20" ht="21.75" customHeight="1" spans="1:16">
      <c r="A20" s="31">
        <f>A19+1</f>
        <v>2</v>
      </c>
      <c r="B20" s="45" t="s">
        <v>27</v>
      </c>
      <c r="C20" s="45"/>
      <c r="D20" s="64" t="e">
        <f>DES!AJ20</f>
        <v>#REF!</v>
      </c>
      <c r="E20" s="64" t="e">
        <f>FEB!AJ20</f>
        <v>#REF!</v>
      </c>
      <c r="F20" s="64" t="e">
        <f>#REF!</f>
        <v>#REF!</v>
      </c>
      <c r="G20" s="64" t="e">
        <f>#REF!</f>
        <v>#REF!</v>
      </c>
      <c r="H20" s="64" t="e">
        <f>#REF!</f>
        <v>#REF!</v>
      </c>
      <c r="I20" s="64" t="e">
        <f>#REF!</f>
        <v>#REF!</v>
      </c>
      <c r="J20" s="64" t="e">
        <f>#REF!</f>
        <v>#REF!</v>
      </c>
      <c r="K20" s="64" t="e">
        <f>#REF!</f>
        <v>#REF!</v>
      </c>
      <c r="L20" s="64" t="e">
        <f>#REF!</f>
        <v>#REF!</v>
      </c>
      <c r="M20" s="64" t="e">
        <f>#REF!</f>
        <v>#REF!</v>
      </c>
      <c r="N20" s="64" t="e">
        <f>#REF!</f>
        <v>#REF!</v>
      </c>
      <c r="O20" s="64" t="e">
        <f>#REF!</f>
        <v>#REF!</v>
      </c>
      <c r="P20" s="49" t="e">
        <f t="shared" ref="P20:P27" si="2">SUM(D20:O20)/12</f>
        <v>#REF!</v>
      </c>
    </row>
    <row r="21" ht="21.75" customHeight="1" spans="1:16">
      <c r="A21" s="31">
        <f>A20+1</f>
        <v>3</v>
      </c>
      <c r="B21" s="46" t="s">
        <v>28</v>
      </c>
      <c r="C21" s="46"/>
      <c r="D21" s="64" t="e">
        <f>DES!AJ21</f>
        <v>#REF!</v>
      </c>
      <c r="E21" s="64" t="e">
        <f>FEB!AJ21</f>
        <v>#REF!</v>
      </c>
      <c r="F21" s="64" t="e">
        <f>#REF!</f>
        <v>#REF!</v>
      </c>
      <c r="G21" s="64" t="e">
        <f>#REF!</f>
        <v>#REF!</v>
      </c>
      <c r="H21" s="64" t="e">
        <f>#REF!</f>
        <v>#REF!</v>
      </c>
      <c r="I21" s="64" t="e">
        <f>#REF!</f>
        <v>#REF!</v>
      </c>
      <c r="J21" s="64" t="e">
        <f>#REF!</f>
        <v>#REF!</v>
      </c>
      <c r="K21" s="64" t="e">
        <f>#REF!</f>
        <v>#REF!</v>
      </c>
      <c r="L21" s="64" t="e">
        <f>#REF!</f>
        <v>#REF!</v>
      </c>
      <c r="M21" s="64" t="e">
        <f>#REF!</f>
        <v>#REF!</v>
      </c>
      <c r="N21" s="64" t="e">
        <f>#REF!</f>
        <v>#REF!</v>
      </c>
      <c r="O21" s="64" t="e">
        <f>#REF!</f>
        <v>#REF!</v>
      </c>
      <c r="P21" s="49" t="e">
        <f t="shared" si="2"/>
        <v>#REF!</v>
      </c>
    </row>
    <row r="22" ht="21.75" customHeight="1" spans="1:16">
      <c r="A22" s="31">
        <f>A21+1</f>
        <v>4</v>
      </c>
      <c r="B22" s="46" t="s">
        <v>29</v>
      </c>
      <c r="C22" s="46"/>
      <c r="D22" s="64" t="e">
        <f>DES!AJ22</f>
        <v>#REF!</v>
      </c>
      <c r="E22" s="64" t="e">
        <f>FEB!AJ22</f>
        <v>#REF!</v>
      </c>
      <c r="F22" s="64" t="e">
        <f>#REF!</f>
        <v>#REF!</v>
      </c>
      <c r="G22" s="64" t="e">
        <f>#REF!</f>
        <v>#REF!</v>
      </c>
      <c r="H22" s="64" t="e">
        <f>#REF!</f>
        <v>#REF!</v>
      </c>
      <c r="I22" s="64" t="e">
        <f>#REF!</f>
        <v>#REF!</v>
      </c>
      <c r="J22" s="64" t="e">
        <f>#REF!</f>
        <v>#REF!</v>
      </c>
      <c r="K22" s="64" t="e">
        <f>#REF!</f>
        <v>#REF!</v>
      </c>
      <c r="L22" s="64" t="e">
        <f>#REF!</f>
        <v>#REF!</v>
      </c>
      <c r="M22" s="64" t="e">
        <f>#REF!</f>
        <v>#REF!</v>
      </c>
      <c r="N22" s="64" t="e">
        <f>#REF!</f>
        <v>#REF!</v>
      </c>
      <c r="O22" s="64" t="e">
        <f>#REF!</f>
        <v>#REF!</v>
      </c>
      <c r="P22" s="49" t="e">
        <f t="shared" si="2"/>
        <v>#REF!</v>
      </c>
    </row>
    <row r="23" ht="31.5" customHeight="1" spans="1:16">
      <c r="A23" s="31">
        <f t="shared" ref="A23:A25" si="3">A22+1</f>
        <v>5</v>
      </c>
      <c r="B23" s="47" t="s">
        <v>30</v>
      </c>
      <c r="C23" s="48"/>
      <c r="D23" s="64" t="e">
        <f>DES!AJ23</f>
        <v>#REF!</v>
      </c>
      <c r="E23" s="64" t="e">
        <f>FEB!AJ23</f>
        <v>#REF!</v>
      </c>
      <c r="F23" s="64" t="e">
        <f>#REF!</f>
        <v>#REF!</v>
      </c>
      <c r="G23" s="64" t="e">
        <f>#REF!</f>
        <v>#REF!</v>
      </c>
      <c r="H23" s="64" t="e">
        <f>#REF!</f>
        <v>#REF!</v>
      </c>
      <c r="I23" s="64" t="e">
        <f>#REF!</f>
        <v>#REF!</v>
      </c>
      <c r="J23" s="64" t="e">
        <f>#REF!</f>
        <v>#REF!</v>
      </c>
      <c r="K23" s="64" t="e">
        <f>#REF!</f>
        <v>#REF!</v>
      </c>
      <c r="L23" s="64" t="e">
        <f>#REF!</f>
        <v>#REF!</v>
      </c>
      <c r="M23" s="64" t="e">
        <f>#REF!</f>
        <v>#REF!</v>
      </c>
      <c r="N23" s="64" t="e">
        <f>#REF!</f>
        <v>#REF!</v>
      </c>
      <c r="O23" s="64" t="e">
        <f>#REF!</f>
        <v>#REF!</v>
      </c>
      <c r="P23" s="49" t="e">
        <f t="shared" si="2"/>
        <v>#REF!</v>
      </c>
    </row>
    <row r="24" ht="22.5" customHeight="1" spans="1:16">
      <c r="A24" s="31">
        <f t="shared" si="3"/>
        <v>6</v>
      </c>
      <c r="B24" s="47" t="s">
        <v>31</v>
      </c>
      <c r="C24" s="48"/>
      <c r="D24" s="64" t="e">
        <f>DES!AJ24</f>
        <v>#REF!</v>
      </c>
      <c r="E24" s="64" t="e">
        <f>FEB!AJ24</f>
        <v>#REF!</v>
      </c>
      <c r="F24" s="64" t="e">
        <f>#REF!</f>
        <v>#REF!</v>
      </c>
      <c r="G24" s="64" t="e">
        <f>#REF!</f>
        <v>#REF!</v>
      </c>
      <c r="H24" s="64" t="e">
        <f>#REF!</f>
        <v>#REF!</v>
      </c>
      <c r="I24" s="64" t="e">
        <f>#REF!</f>
        <v>#REF!</v>
      </c>
      <c r="J24" s="64" t="e">
        <f>#REF!</f>
        <v>#REF!</v>
      </c>
      <c r="K24" s="64" t="e">
        <f>#REF!</f>
        <v>#REF!</v>
      </c>
      <c r="L24" s="64" t="e">
        <f>#REF!</f>
        <v>#REF!</v>
      </c>
      <c r="M24" s="64" t="e">
        <f>#REF!</f>
        <v>#REF!</v>
      </c>
      <c r="N24" s="64" t="e">
        <f>#REF!</f>
        <v>#REF!</v>
      </c>
      <c r="O24" s="64" t="e">
        <f>#REF!</f>
        <v>#REF!</v>
      </c>
      <c r="P24" s="49" t="e">
        <f t="shared" si="2"/>
        <v>#REF!</v>
      </c>
    </row>
    <row r="25" ht="22.5" customHeight="1" spans="1:16">
      <c r="A25" s="31">
        <f t="shared" si="3"/>
        <v>7</v>
      </c>
      <c r="B25" s="47" t="s">
        <v>32</v>
      </c>
      <c r="C25" s="48"/>
      <c r="D25" s="64" t="e">
        <f>DES!AJ25</f>
        <v>#REF!</v>
      </c>
      <c r="E25" s="64" t="e">
        <f>FEB!AJ25</f>
        <v>#REF!</v>
      </c>
      <c r="F25" s="64" t="e">
        <f>#REF!</f>
        <v>#REF!</v>
      </c>
      <c r="G25" s="64" t="e">
        <f>#REF!</f>
        <v>#REF!</v>
      </c>
      <c r="H25" s="64" t="e">
        <f>#REF!</f>
        <v>#REF!</v>
      </c>
      <c r="I25" s="64" t="e">
        <f>#REF!</f>
        <v>#REF!</v>
      </c>
      <c r="J25" s="64" t="e">
        <f>#REF!</f>
        <v>#REF!</v>
      </c>
      <c r="K25" s="64" t="e">
        <f>#REF!</f>
        <v>#REF!</v>
      </c>
      <c r="L25" s="64" t="e">
        <f>#REF!</f>
        <v>#REF!</v>
      </c>
      <c r="M25" s="64" t="e">
        <f>#REF!</f>
        <v>#REF!</v>
      </c>
      <c r="N25" s="64" t="e">
        <f>#REF!</f>
        <v>#REF!</v>
      </c>
      <c r="O25" s="64" t="e">
        <f>#REF!</f>
        <v>#REF!</v>
      </c>
      <c r="P25" s="49" t="e">
        <f t="shared" si="2"/>
        <v>#REF!</v>
      </c>
    </row>
    <row r="26" ht="22.5" customHeight="1" spans="1:16">
      <c r="A26" s="31">
        <v>8</v>
      </c>
      <c r="B26" s="47" t="s">
        <v>33</v>
      </c>
      <c r="C26" s="48"/>
      <c r="D26" s="64" t="e">
        <f>DES!AJ26</f>
        <v>#REF!</v>
      </c>
      <c r="E26" s="64" t="e">
        <f>FEB!AJ26</f>
        <v>#REF!</v>
      </c>
      <c r="F26" s="64" t="e">
        <f>#REF!</f>
        <v>#REF!</v>
      </c>
      <c r="G26" s="64" t="e">
        <f>#REF!</f>
        <v>#REF!</v>
      </c>
      <c r="H26" s="64" t="e">
        <f>#REF!</f>
        <v>#REF!</v>
      </c>
      <c r="I26" s="64" t="e">
        <f>#REF!</f>
        <v>#REF!</v>
      </c>
      <c r="J26" s="64" t="e">
        <f>#REF!</f>
        <v>#REF!</v>
      </c>
      <c r="K26" s="64" t="e">
        <f>#REF!</f>
        <v>#REF!</v>
      </c>
      <c r="L26" s="64" t="e">
        <f>#REF!</f>
        <v>#REF!</v>
      </c>
      <c r="M26" s="64" t="e">
        <f>#REF!</f>
        <v>#REF!</v>
      </c>
      <c r="N26" s="64" t="e">
        <f>#REF!</f>
        <v>#REF!</v>
      </c>
      <c r="O26" s="64" t="e">
        <f>#REF!</f>
        <v>#REF!</v>
      </c>
      <c r="P26" s="49" t="e">
        <f t="shared" si="2"/>
        <v>#REF!</v>
      </c>
    </row>
    <row r="27" ht="28.5" customHeight="1" spans="1:16">
      <c r="A27" s="50" t="s">
        <v>16</v>
      </c>
      <c r="B27" s="51"/>
      <c r="C27" s="52"/>
      <c r="D27" s="66" t="e">
        <f>DES!AJ27</f>
        <v>#REF!</v>
      </c>
      <c r="E27" s="66" t="e">
        <f>FEB!AJ27</f>
        <v>#REF!</v>
      </c>
      <c r="F27" s="66" t="e">
        <f>#REF!</f>
        <v>#REF!</v>
      </c>
      <c r="G27" s="66" t="e">
        <f>#REF!</f>
        <v>#REF!</v>
      </c>
      <c r="H27" s="66" t="e">
        <f>#REF!</f>
        <v>#REF!</v>
      </c>
      <c r="I27" s="66" t="e">
        <f>#REF!</f>
        <v>#REF!</v>
      </c>
      <c r="J27" s="66" t="e">
        <f>#REF!</f>
        <v>#REF!</v>
      </c>
      <c r="K27" s="66" t="e">
        <f>#REF!</f>
        <v>#REF!</v>
      </c>
      <c r="L27" s="66" t="e">
        <f>#REF!</f>
        <v>#REF!</v>
      </c>
      <c r="M27" s="66" t="e">
        <f>#REF!</f>
        <v>#REF!</v>
      </c>
      <c r="N27" s="66" t="e">
        <f>#REF!</f>
        <v>#REF!</v>
      </c>
      <c r="O27" s="66" t="e">
        <f>#REF!</f>
        <v>#REF!</v>
      </c>
      <c r="P27" s="42" t="e">
        <f t="shared" si="2"/>
        <v>#REF!</v>
      </c>
    </row>
    <row r="28" ht="28.5" customHeight="1" spans="1:16">
      <c r="A28" s="34" t="e">
        <f>#REF!</f>
        <v>#REF!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42" t="e">
        <f>P13+P17+P27</f>
        <v>#REF!</v>
      </c>
    </row>
    <row r="29" ht="28.5" customHeight="1"/>
  </sheetData>
  <mergeCells count="24">
    <mergeCell ref="A1:P1"/>
    <mergeCell ref="A2:P2"/>
    <mergeCell ref="A5:B5"/>
    <mergeCell ref="D7:O7"/>
    <mergeCell ref="B10:C10"/>
    <mergeCell ref="B11:C11"/>
    <mergeCell ref="B12:C12"/>
    <mergeCell ref="A13:C13"/>
    <mergeCell ref="B15:C15"/>
    <mergeCell ref="B16:C16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28:O28"/>
    <mergeCell ref="A7:A8"/>
    <mergeCell ref="P7:P8"/>
    <mergeCell ref="B7:C8"/>
  </mergeCells>
  <pageMargins left="0.93" right="0.35" top="0.32" bottom="0.2" header="0.31496062992126" footer="0.24"/>
  <pageSetup paperSize="301" scale="84" orientation="landscape" verticalDpi="72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G57"/>
  <sheetViews>
    <sheetView zoomScale="80" zoomScaleNormal="80" topLeftCell="B1" workbookViewId="0">
      <selection activeCell="J28" sqref="J28"/>
    </sheetView>
  </sheetViews>
  <sheetFormatPr defaultColWidth="9.14285714285714" defaultRowHeight="15" outlineLevelCol="6"/>
  <cols>
    <col min="1" max="1" width="4.85714285714286" style="12" customWidth="1"/>
    <col min="2" max="2" width="14.2857142857143" style="12" customWidth="1"/>
    <col min="3" max="3" width="55.5714285714286" style="12" customWidth="1"/>
    <col min="4" max="4" width="11.7142857142857" style="12" customWidth="1"/>
    <col min="5" max="5" width="12.4285714285714" style="12" customWidth="1"/>
    <col min="6" max="6" width="13.2857142857143" style="12" customWidth="1"/>
    <col min="7" max="7" width="24.2857142857143" style="12" customWidth="1"/>
    <col min="8" max="9" width="9.14285714285714" style="12"/>
    <col min="10" max="10" width="9.14285714285714" style="12" customWidth="1"/>
    <col min="11" max="16384" width="9.14285714285714" style="12"/>
  </cols>
  <sheetData>
    <row r="1" ht="15.75" customHeight="1" spans="1:7">
      <c r="A1" s="13" t="s">
        <v>0</v>
      </c>
      <c r="B1" s="13"/>
      <c r="C1" s="13"/>
      <c r="D1" s="13"/>
      <c r="E1" s="13"/>
      <c r="F1" s="13"/>
      <c r="G1" s="13"/>
    </row>
    <row r="2" ht="15.75" customHeight="1" spans="1:7">
      <c r="A2" s="14" t="s">
        <v>53</v>
      </c>
      <c r="B2" s="14"/>
      <c r="C2" s="14"/>
      <c r="D2" s="14"/>
      <c r="E2" s="14"/>
      <c r="F2" s="14"/>
      <c r="G2" s="14"/>
    </row>
    <row r="3" ht="15.75" customHeight="1" spans="1:7">
      <c r="A3" s="14" t="s">
        <v>68</v>
      </c>
      <c r="B3" s="14"/>
      <c r="C3" s="14"/>
      <c r="D3" s="14"/>
      <c r="E3" s="14"/>
      <c r="F3" s="14"/>
      <c r="G3" s="14"/>
    </row>
    <row r="4" ht="15.75" customHeight="1" spans="1:7">
      <c r="A4" s="14"/>
      <c r="B4" s="14"/>
      <c r="C4" s="14"/>
      <c r="D4" s="14"/>
      <c r="E4" s="14"/>
      <c r="F4" s="14"/>
      <c r="G4" s="14"/>
    </row>
    <row r="5" ht="15.75" customHeight="1" spans="1:7">
      <c r="A5" s="14"/>
      <c r="B5" s="14"/>
      <c r="C5" s="14"/>
      <c r="D5" s="14"/>
      <c r="E5" s="14"/>
      <c r="F5" s="14"/>
      <c r="G5" s="14"/>
    </row>
    <row r="6" ht="15.75" customHeight="1" spans="1:7">
      <c r="A6" s="14"/>
      <c r="B6" s="14"/>
      <c r="C6" s="14"/>
      <c r="D6" s="14"/>
    </row>
    <row r="7" ht="15.75" customHeight="1" spans="1:7">
      <c r="A7" s="14" t="s">
        <v>69</v>
      </c>
      <c r="B7" s="14"/>
      <c r="C7" s="14"/>
      <c r="D7" s="14"/>
      <c r="E7" s="14"/>
      <c r="F7" s="14"/>
      <c r="G7" s="14"/>
    </row>
    <row r="8" ht="15.75" customHeight="1" spans="1:7">
      <c r="A8" s="15" t="s">
        <v>2</v>
      </c>
      <c r="B8" s="16"/>
      <c r="C8" s="17"/>
      <c r="D8" s="14"/>
      <c r="E8" s="12" t="s">
        <v>70</v>
      </c>
    </row>
    <row r="9" ht="15.75" customHeight="1" spans="1:7">
      <c r="A9" s="15" t="s">
        <v>71</v>
      </c>
      <c r="B9" s="16"/>
      <c r="C9" s="15" t="s">
        <v>72</v>
      </c>
      <c r="D9" s="14"/>
      <c r="E9" s="12" t="s">
        <v>3</v>
      </c>
      <c r="F9" s="12" t="s">
        <v>4</v>
      </c>
    </row>
    <row r="10" ht="15.75" customHeight="1" spans="1:7">
      <c r="A10" s="15" t="s">
        <v>73</v>
      </c>
      <c r="B10" s="16"/>
      <c r="C10" s="15"/>
      <c r="D10" s="14"/>
    </row>
    <row r="11" ht="15.75" customHeight="1" spans="1:7">
      <c r="A11" s="14" t="s">
        <v>74</v>
      </c>
      <c r="B11" s="14"/>
      <c r="C11" s="14"/>
      <c r="D11" s="14"/>
      <c r="E11" s="14"/>
      <c r="F11" s="14"/>
      <c r="G11" s="14"/>
    </row>
    <row r="12" ht="15.75" customHeight="1" spans="1:7">
      <c r="A12" s="15" t="s">
        <v>75</v>
      </c>
      <c r="B12" s="14"/>
      <c r="C12" s="17"/>
      <c r="D12" s="14"/>
      <c r="E12" s="12" t="s">
        <v>70</v>
      </c>
    </row>
    <row r="13" ht="15.75" customHeight="1" spans="1:7">
      <c r="A13" s="15" t="s">
        <v>71</v>
      </c>
      <c r="B13" s="14"/>
      <c r="C13" s="15" t="s">
        <v>76</v>
      </c>
      <c r="D13" s="14"/>
    </row>
    <row r="14" ht="15.75" customHeight="1" spans="1:7">
      <c r="A14" s="15" t="s">
        <v>73</v>
      </c>
      <c r="B14" s="14"/>
      <c r="C14" s="15"/>
      <c r="D14" s="14"/>
    </row>
    <row r="15" ht="15.75" customHeight="1" spans="1:7">
      <c r="A15" s="14" t="s">
        <v>77</v>
      </c>
      <c r="B15" s="14"/>
      <c r="C15" s="14"/>
      <c r="D15" s="14"/>
      <c r="E15" s="14"/>
      <c r="F15" s="14"/>
      <c r="G15" s="14"/>
    </row>
    <row r="16" ht="15.75" spans="1:7">
      <c r="A16" s="15" t="s">
        <v>75</v>
      </c>
      <c r="B16" s="14"/>
      <c r="C16" s="17"/>
      <c r="E16" s="12" t="s">
        <v>70</v>
      </c>
    </row>
    <row r="17" spans="1:7">
      <c r="A17" s="18" t="s">
        <v>71</v>
      </c>
      <c r="B17" s="18"/>
      <c r="C17" s="18" t="s">
        <v>78</v>
      </c>
    </row>
    <row r="18" spans="1:7">
      <c r="A18" s="19" t="s">
        <v>73</v>
      </c>
      <c r="B18" s="19"/>
      <c r="C18" s="19" t="s">
        <v>79</v>
      </c>
    </row>
    <row r="19" spans="1:7">
      <c r="A19" s="19"/>
      <c r="B19" s="19"/>
    </row>
    <row r="20" ht="21.75" customHeight="1" spans="1:7">
      <c r="A20" s="20" t="s">
        <v>5</v>
      </c>
      <c r="B20" s="20" t="s">
        <v>6</v>
      </c>
      <c r="C20" s="20"/>
      <c r="D20" s="21" t="s">
        <v>80</v>
      </c>
      <c r="E20" s="20" t="s">
        <v>81</v>
      </c>
      <c r="F20" s="20" t="s">
        <v>82</v>
      </c>
      <c r="G20" s="20" t="s">
        <v>83</v>
      </c>
    </row>
    <row r="21" ht="21.75" customHeight="1" spans="1:7">
      <c r="A21" s="22"/>
      <c r="B21" s="22"/>
      <c r="C21" s="22"/>
      <c r="D21" s="23"/>
      <c r="E21" s="20"/>
      <c r="F21" s="20"/>
      <c r="G21" s="20"/>
    </row>
    <row r="22" s="11" customFormat="1" ht="15.75" spans="1:7">
      <c r="A22" s="24" t="s">
        <v>12</v>
      </c>
      <c r="B22" s="25"/>
      <c r="C22" s="25"/>
      <c r="D22" s="25"/>
      <c r="E22" s="25"/>
      <c r="F22" s="25"/>
      <c r="G22" s="26"/>
    </row>
    <row r="23" ht="23.25" customHeight="1" spans="1:7">
      <c r="A23" s="27">
        <v>1</v>
      </c>
      <c r="B23" s="28" t="s">
        <v>13</v>
      </c>
      <c r="C23" s="28"/>
      <c r="D23" s="29">
        <v>100</v>
      </c>
      <c r="E23" s="30"/>
      <c r="F23" s="30"/>
      <c r="G23" s="30"/>
    </row>
    <row r="24" ht="39.75" customHeight="1" spans="1:7">
      <c r="A24" s="31">
        <v>2</v>
      </c>
      <c r="B24" s="32" t="s">
        <v>36</v>
      </c>
      <c r="C24" s="33"/>
      <c r="D24" s="29">
        <v>100</v>
      </c>
      <c r="E24" s="30"/>
      <c r="F24" s="30"/>
      <c r="G24" s="30"/>
    </row>
    <row r="25" ht="23.25" customHeight="1" spans="1:7">
      <c r="A25" s="31">
        <v>3</v>
      </c>
      <c r="B25" s="32" t="s">
        <v>15</v>
      </c>
      <c r="C25" s="33"/>
      <c r="D25" s="29">
        <v>100</v>
      </c>
      <c r="E25" s="30"/>
      <c r="F25" s="30"/>
      <c r="G25" s="30"/>
    </row>
    <row r="26" ht="29.25" customHeight="1" spans="1:7">
      <c r="A26" s="34" t="s">
        <v>16</v>
      </c>
      <c r="B26" s="34"/>
      <c r="C26" s="34"/>
      <c r="D26" s="35"/>
      <c r="E26" s="36"/>
      <c r="F26" s="36"/>
      <c r="G26" s="37"/>
    </row>
    <row r="27" s="11" customFormat="1" ht="15.75" spans="1:7">
      <c r="A27" s="24" t="s">
        <v>17</v>
      </c>
      <c r="B27" s="25"/>
      <c r="C27" s="25"/>
      <c r="D27" s="25"/>
      <c r="E27" s="25"/>
      <c r="F27" s="25"/>
      <c r="G27" s="26"/>
    </row>
    <row r="28" ht="38.25" customHeight="1" spans="1:7">
      <c r="A28" s="31">
        <v>1</v>
      </c>
      <c r="B28" s="32" t="s">
        <v>18</v>
      </c>
      <c r="C28" s="33"/>
      <c r="D28" s="38">
        <v>100</v>
      </c>
      <c r="E28" s="30"/>
      <c r="F28" s="30"/>
      <c r="G28" s="30"/>
    </row>
    <row r="29" ht="22.5" customHeight="1" spans="1:7">
      <c r="A29" s="31">
        <v>2</v>
      </c>
      <c r="B29" s="32" t="s">
        <v>19</v>
      </c>
      <c r="C29" s="33"/>
      <c r="D29" s="38">
        <v>100</v>
      </c>
      <c r="E29" s="30"/>
      <c r="F29" s="30"/>
      <c r="G29" s="30"/>
    </row>
    <row r="30" ht="28.5" customHeight="1" spans="1:7">
      <c r="A30" s="39" t="s">
        <v>16</v>
      </c>
      <c r="B30" s="40"/>
      <c r="C30" s="41"/>
      <c r="D30" s="42"/>
      <c r="E30" s="30"/>
      <c r="F30" s="30"/>
      <c r="G30" s="30"/>
    </row>
    <row r="31" ht="15.75" spans="1:7">
      <c r="A31" s="24" t="s">
        <v>84</v>
      </c>
      <c r="B31" s="25"/>
      <c r="C31" s="25"/>
      <c r="D31" s="25"/>
      <c r="E31" s="25"/>
      <c r="F31" s="25"/>
      <c r="G31" s="26"/>
    </row>
    <row r="32" ht="21.75" customHeight="1" spans="1:7">
      <c r="A32" s="31">
        <v>1</v>
      </c>
      <c r="B32" s="43" t="s">
        <v>26</v>
      </c>
      <c r="C32" s="44"/>
      <c r="D32" s="38">
        <v>100</v>
      </c>
      <c r="E32" s="30"/>
      <c r="F32" s="30"/>
      <c r="G32" s="30"/>
    </row>
    <row r="33" ht="21.75" customHeight="1" spans="1:7">
      <c r="A33" s="31">
        <f>A32+1</f>
        <v>2</v>
      </c>
      <c r="B33" s="45" t="s">
        <v>27</v>
      </c>
      <c r="C33" s="45"/>
      <c r="D33" s="38">
        <v>100</v>
      </c>
      <c r="E33" s="30"/>
      <c r="F33" s="30"/>
      <c r="G33" s="30"/>
    </row>
    <row r="34" ht="21.75" customHeight="1" spans="1:7">
      <c r="A34" s="31">
        <f>A33+1</f>
        <v>3</v>
      </c>
      <c r="B34" s="46" t="s">
        <v>28</v>
      </c>
      <c r="C34" s="46"/>
      <c r="D34" s="38" t="s">
        <v>85</v>
      </c>
      <c r="E34" s="30"/>
      <c r="F34" s="30"/>
      <c r="G34" s="30"/>
    </row>
    <row r="35" ht="21.75" customHeight="1" spans="1:7">
      <c r="A35" s="31">
        <f>A34+1</f>
        <v>4</v>
      </c>
      <c r="B35" s="46" t="s">
        <v>29</v>
      </c>
      <c r="C35" s="46"/>
      <c r="D35" s="38">
        <v>100</v>
      </c>
      <c r="E35" s="30"/>
      <c r="F35" s="30"/>
      <c r="G35" s="30"/>
    </row>
    <row r="36" ht="31.5" customHeight="1" spans="1:7">
      <c r="A36" s="31">
        <f t="shared" ref="A36:A38" si="0">A35+1</f>
        <v>5</v>
      </c>
      <c r="B36" s="47" t="s">
        <v>30</v>
      </c>
      <c r="C36" s="48"/>
      <c r="D36" s="38">
        <v>100</v>
      </c>
      <c r="E36" s="30"/>
      <c r="F36" s="30"/>
      <c r="G36" s="30"/>
    </row>
    <row r="37" ht="22.5" customHeight="1" spans="1:7">
      <c r="A37" s="31">
        <f t="shared" si="0"/>
        <v>6</v>
      </c>
      <c r="B37" s="47" t="s">
        <v>31</v>
      </c>
      <c r="C37" s="48"/>
      <c r="D37" s="38">
        <v>100</v>
      </c>
      <c r="E37" s="30"/>
      <c r="F37" s="30"/>
      <c r="G37" s="30"/>
    </row>
    <row r="38" ht="22.5" customHeight="1" spans="1:7">
      <c r="A38" s="31">
        <f t="shared" si="0"/>
        <v>7</v>
      </c>
      <c r="B38" s="47" t="s">
        <v>32</v>
      </c>
      <c r="C38" s="48"/>
      <c r="D38" s="38">
        <v>100</v>
      </c>
      <c r="E38" s="30"/>
      <c r="F38" s="30"/>
      <c r="G38" s="30"/>
    </row>
    <row r="39" ht="22.5" customHeight="1" spans="1:7">
      <c r="A39" s="31">
        <v>8</v>
      </c>
      <c r="B39" s="47" t="s">
        <v>33</v>
      </c>
      <c r="C39" s="48"/>
      <c r="D39" s="49" t="s">
        <v>86</v>
      </c>
      <c r="E39" s="30"/>
      <c r="F39" s="30"/>
      <c r="G39" s="30"/>
    </row>
    <row r="40" ht="28.5" customHeight="1" spans="1:7">
      <c r="A40" s="50" t="s">
        <v>16</v>
      </c>
      <c r="B40" s="51"/>
      <c r="C40" s="52"/>
      <c r="D40" s="42"/>
      <c r="E40" s="30"/>
      <c r="F40" s="30"/>
      <c r="G40" s="30"/>
    </row>
    <row r="41" ht="28.5" customHeight="1" spans="1:7">
      <c r="A41" s="34" t="e">
        <f>#REF!</f>
        <v>#REF!</v>
      </c>
      <c r="B41" s="34"/>
      <c r="C41" s="34"/>
      <c r="D41" s="42"/>
      <c r="E41" s="30"/>
      <c r="F41" s="30"/>
      <c r="G41" s="30"/>
    </row>
    <row r="42" ht="28.5" customHeight="1"/>
    <row r="43" ht="15.75" spans="1:7">
      <c r="C43" s="13" t="s">
        <v>87</v>
      </c>
      <c r="D43" s="53"/>
      <c r="E43" s="53"/>
      <c r="F43" s="13" t="s">
        <v>88</v>
      </c>
      <c r="G43" s="53"/>
    </row>
    <row r="47" spans="1:7">
      <c r="C47" s="54" t="s">
        <v>89</v>
      </c>
      <c r="E47" s="54"/>
      <c r="F47" s="12" t="s">
        <v>90</v>
      </c>
      <c r="G47" s="54"/>
    </row>
    <row r="50" ht="15.75" spans="4:4">
      <c r="D50" s="13" t="s">
        <v>91</v>
      </c>
    </row>
    <row r="51" ht="15.75" spans="4:4">
      <c r="D51" s="13" t="s">
        <v>92</v>
      </c>
    </row>
    <row r="55" spans="4:4">
      <c r="D55" s="55"/>
    </row>
    <row r="56" spans="4:4">
      <c r="D56" s="54"/>
    </row>
    <row r="57" spans="4:4">
      <c r="D57" s="54"/>
    </row>
  </sheetData>
  <mergeCells count="36">
    <mergeCell ref="A1:G1"/>
    <mergeCell ref="A2:G2"/>
    <mergeCell ref="A3:G3"/>
    <mergeCell ref="A4:G4"/>
    <mergeCell ref="A5:G5"/>
    <mergeCell ref="A7:G7"/>
    <mergeCell ref="A11:G11"/>
    <mergeCell ref="A15:G15"/>
    <mergeCell ref="A18:B18"/>
    <mergeCell ref="A22:G22"/>
    <mergeCell ref="B23:C23"/>
    <mergeCell ref="B24:C24"/>
    <mergeCell ref="B25:C25"/>
    <mergeCell ref="A26:C26"/>
    <mergeCell ref="D26:G26"/>
    <mergeCell ref="A27:G27"/>
    <mergeCell ref="B28:C28"/>
    <mergeCell ref="B29:C29"/>
    <mergeCell ref="A30:C30"/>
    <mergeCell ref="A31:G31"/>
    <mergeCell ref="B32:C32"/>
    <mergeCell ref="B33:C33"/>
    <mergeCell ref="B34:C34"/>
    <mergeCell ref="B35:C35"/>
    <mergeCell ref="B36:C36"/>
    <mergeCell ref="B37:C37"/>
    <mergeCell ref="B38:C38"/>
    <mergeCell ref="B39:C39"/>
    <mergeCell ref="A40:C40"/>
    <mergeCell ref="A41:C41"/>
    <mergeCell ref="A20:A21"/>
    <mergeCell ref="D20:D21"/>
    <mergeCell ref="E20:E21"/>
    <mergeCell ref="F20:F21"/>
    <mergeCell ref="G20:G21"/>
    <mergeCell ref="B20:C21"/>
  </mergeCells>
  <pageMargins left="0.93" right="0.35" top="0.32" bottom="0.2" header="0.31496062992126" footer="0.24"/>
  <pageSetup paperSize="301" scale="47" orientation="landscape" verticalDpi="72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C40"/>
  <sheetViews>
    <sheetView workbookViewId="0">
      <selection activeCell="A1" sqref="A1:P28 C4 C4 C4 C4 C4 C4 C4 C4 C4 C4 C4 C4 C4 C4 C4 C4 C4 C4 C4 C4 C4 C4 C4 C4 C4 C4 C4 C4"/>
    </sheetView>
  </sheetViews>
  <sheetFormatPr defaultColWidth="9" defaultRowHeight="15" outlineLevelCol="2"/>
  <cols>
    <col min="1" max="1" width="6.14285714285714" customWidth="1"/>
    <col min="2" max="3" width="31.4285714285714" customWidth="1"/>
  </cols>
  <sheetData>
    <row r="1" spans="1:3">
      <c r="A1" s="2" t="s">
        <v>93</v>
      </c>
      <c r="B1" s="2"/>
      <c r="C1" s="2"/>
    </row>
    <row r="2" spans="1:3">
      <c r="A2" s="2" t="s">
        <v>94</v>
      </c>
      <c r="B2" s="2"/>
      <c r="C2" s="2"/>
    </row>
    <row r="4" s="1" customFormat="1" ht="21.75" customHeight="1" spans="1:3">
      <c r="A4" s="3" t="s">
        <v>5</v>
      </c>
      <c r="B4" s="3" t="s">
        <v>95</v>
      </c>
      <c r="C4" s="3" t="s">
        <v>96</v>
      </c>
    </row>
    <row r="5" spans="1:3">
      <c r="A5" s="4">
        <v>1</v>
      </c>
      <c r="B5" s="5" t="s">
        <v>97</v>
      </c>
      <c r="C5" s="6"/>
    </row>
    <row r="6" spans="1:3">
      <c r="A6" s="4">
        <v>2</v>
      </c>
      <c r="B6" s="5" t="s">
        <v>98</v>
      </c>
      <c r="C6" s="6"/>
    </row>
    <row r="7" spans="1:3">
      <c r="A7" s="4">
        <v>3</v>
      </c>
      <c r="B7" s="5" t="s">
        <v>99</v>
      </c>
      <c r="C7" s="6"/>
    </row>
    <row r="8" spans="1:3">
      <c r="A8" s="4">
        <v>4</v>
      </c>
      <c r="B8" s="7" t="s">
        <v>100</v>
      </c>
      <c r="C8" s="6"/>
    </row>
    <row r="9" spans="1:3">
      <c r="A9" s="4">
        <v>5</v>
      </c>
      <c r="B9" s="5" t="s">
        <v>101</v>
      </c>
      <c r="C9" s="6"/>
    </row>
    <row r="10" spans="1:3">
      <c r="A10" s="4">
        <v>6</v>
      </c>
      <c r="B10" s="8" t="s">
        <v>102</v>
      </c>
      <c r="C10" s="6"/>
    </row>
    <row r="11" spans="1:3">
      <c r="A11" s="4">
        <v>7</v>
      </c>
      <c r="B11" s="5" t="s">
        <v>103</v>
      </c>
      <c r="C11" s="6"/>
    </row>
    <row r="12" spans="1:3">
      <c r="A12" s="4">
        <v>8</v>
      </c>
      <c r="B12" s="5" t="s">
        <v>104</v>
      </c>
      <c r="C12" s="6"/>
    </row>
    <row r="13" spans="1:3">
      <c r="A13" s="4">
        <v>9</v>
      </c>
      <c r="B13" s="5" t="s">
        <v>105</v>
      </c>
      <c r="C13" s="6"/>
    </row>
    <row r="14" spans="1:3">
      <c r="A14" s="4">
        <v>10</v>
      </c>
      <c r="B14" s="5" t="s">
        <v>106</v>
      </c>
      <c r="C14" s="6"/>
    </row>
    <row r="15" spans="1:3">
      <c r="A15" s="4">
        <v>11</v>
      </c>
      <c r="B15" s="5" t="s">
        <v>107</v>
      </c>
      <c r="C15" s="6"/>
    </row>
    <row r="16" spans="1:3">
      <c r="A16" s="4">
        <v>12</v>
      </c>
      <c r="B16" s="5" t="s">
        <v>108</v>
      </c>
      <c r="C16" s="6"/>
    </row>
    <row r="17" spans="1:3">
      <c r="A17" s="4">
        <v>13</v>
      </c>
      <c r="B17" s="5" t="s">
        <v>109</v>
      </c>
      <c r="C17" s="6"/>
    </row>
    <row r="18" spans="1:3">
      <c r="A18" s="4">
        <v>14</v>
      </c>
      <c r="B18" s="5" t="s">
        <v>110</v>
      </c>
      <c r="C18" s="6"/>
    </row>
    <row r="19" spans="1:3">
      <c r="A19" s="4">
        <v>15</v>
      </c>
      <c r="B19" s="5" t="s">
        <v>111</v>
      </c>
      <c r="C19" s="6"/>
    </row>
    <row r="20" spans="1:3">
      <c r="A20" s="4">
        <v>16</v>
      </c>
      <c r="B20" s="5" t="s">
        <v>112</v>
      </c>
      <c r="C20" s="6"/>
    </row>
    <row r="21" spans="1:3">
      <c r="A21" s="4">
        <v>17</v>
      </c>
      <c r="B21" s="5" t="s">
        <v>113</v>
      </c>
      <c r="C21" s="6"/>
    </row>
    <row r="22" spans="1:3">
      <c r="A22" s="4">
        <v>18</v>
      </c>
      <c r="B22" s="7" t="s">
        <v>114</v>
      </c>
      <c r="C22" s="6"/>
    </row>
    <row r="23" spans="1:3">
      <c r="A23" s="4">
        <v>19</v>
      </c>
      <c r="B23" s="5" t="s">
        <v>115</v>
      </c>
      <c r="C23" s="6"/>
    </row>
    <row r="24" spans="1:3">
      <c r="A24" s="4">
        <v>20</v>
      </c>
      <c r="B24" s="5" t="s">
        <v>116</v>
      </c>
      <c r="C24" s="6"/>
    </row>
    <row r="25" spans="1:3">
      <c r="A25" s="4">
        <v>21</v>
      </c>
      <c r="B25" s="5" t="s">
        <v>117</v>
      </c>
      <c r="C25" s="6"/>
    </row>
    <row r="26" spans="1:3">
      <c r="A26" s="4">
        <v>22</v>
      </c>
      <c r="B26" s="5" t="s">
        <v>118</v>
      </c>
      <c r="C26" s="6"/>
    </row>
    <row r="27" spans="1:3">
      <c r="A27" s="4">
        <v>23</v>
      </c>
      <c r="B27" s="7" t="s">
        <v>119</v>
      </c>
      <c r="C27" s="6"/>
    </row>
    <row r="28" spans="1:3">
      <c r="A28" s="4">
        <v>24</v>
      </c>
      <c r="B28" s="9" t="s">
        <v>120</v>
      </c>
      <c r="C28" s="6"/>
    </row>
    <row r="29" spans="1:3">
      <c r="A29" s="4">
        <v>25</v>
      </c>
      <c r="B29" s="9" t="s">
        <v>121</v>
      </c>
      <c r="C29" s="6"/>
    </row>
    <row r="30" spans="1:3">
      <c r="A30" s="4">
        <v>26</v>
      </c>
      <c r="B30" s="9" t="s">
        <v>122</v>
      </c>
      <c r="C30" s="6"/>
    </row>
    <row r="31" spans="1:3">
      <c r="A31" s="4">
        <v>27</v>
      </c>
      <c r="B31" s="9" t="s">
        <v>123</v>
      </c>
      <c r="C31" s="6"/>
    </row>
    <row r="32" spans="1:3">
      <c r="A32" s="4">
        <v>28</v>
      </c>
      <c r="B32" s="9" t="s">
        <v>124</v>
      </c>
      <c r="C32" s="6"/>
    </row>
    <row r="33" spans="1:3">
      <c r="A33" s="2"/>
    </row>
    <row r="35" spans="1:3">
      <c r="C35" s="2" t="s">
        <v>87</v>
      </c>
    </row>
    <row r="36" spans="1:3">
      <c r="C36" s="2"/>
    </row>
    <row r="37" spans="1:3">
      <c r="C37" s="2"/>
    </row>
    <row r="38" spans="1:3">
      <c r="C38" s="2"/>
    </row>
    <row r="39" spans="1:3">
      <c r="C39" s="10" t="s">
        <v>125</v>
      </c>
    </row>
    <row r="40" spans="1:3">
      <c r="C40" s="2" t="s">
        <v>126</v>
      </c>
    </row>
  </sheetData>
  <sortState ref="B5:B31">
    <sortCondition ref="B7"/>
  </sortState>
  <mergeCells count="2">
    <mergeCell ref="A1:C1"/>
    <mergeCell ref="A2:C2"/>
  </mergeCells>
  <pageMargins left="1.47" right="0.7" top="0.75" bottom="0.75" header="0.3" footer="0.3"/>
  <pageSetup paperSize="30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JAN </vt:lpstr>
      <vt:lpstr>FEB</vt:lpstr>
      <vt:lpstr>MART</vt:lpstr>
      <vt:lpstr>APRIL</vt:lpstr>
      <vt:lpstr>MEI</vt:lpstr>
      <vt:lpstr>JUNI</vt:lpstr>
      <vt:lpstr>JULI </vt:lpstr>
      <vt:lpstr>AGUST</vt:lpstr>
      <vt:lpstr>SEPT </vt:lpstr>
      <vt:lpstr>OKT</vt:lpstr>
      <vt:lpstr>NOV</vt:lpstr>
      <vt:lpstr>DES</vt:lpstr>
      <vt:lpstr>TAHUNAN</vt:lpstr>
      <vt:lpstr>PENILAIAN  TAHUNAN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</dc:creator>
  <cp:lastModifiedBy>GAMBUH01</cp:lastModifiedBy>
  <dcterms:created xsi:type="dcterms:W3CDTF">2022-10-18T04:43:00Z</dcterms:created>
  <cp:lastPrinted>2024-01-08T19:44:00Z</cp:lastPrinted>
  <dcterms:modified xsi:type="dcterms:W3CDTF">2026-07-26T16:37:12Z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EC5A9DBA34BB4C85BB93C810E713151D_12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